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People" sheetId="4" state="visible" r:id="rId4"/>
    <sheet xmlns:r="http://schemas.openxmlformats.org/officeDocument/2006/relationships" name="Gift Tracker" sheetId="5" state="visible" r:id="rId5"/>
    <sheet xmlns:r="http://schemas.openxmlformats.org/officeDocument/2006/relationships" name="Expense Log" sheetId="6" state="visible" r:id="rId6"/>
    <sheet xmlns:r="http://schemas.openxmlformats.org/officeDocument/2006/relationships" name="Savings" sheetId="7" state="visible" r:id="rId7"/>
  </sheets>
  <definedNames>
    <definedName name="_xlnm.Print_Area" localSheetId="1">'Dashboard'!$A$1:$F$28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mmm d, yyyy"/>
    <numFmt numFmtId="166" formatCode="0&quot; days until Christmas&quot;"/>
  </numFmts>
  <fonts count="18">
    <font>
      <name val="Calibri"/>
      <family val="2"/>
      <color theme="1"/>
      <sz val="11"/>
      <scheme val="minor"/>
    </font>
    <font>
      <name val="Georgia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3B2F2A"/>
      <sz val="10"/>
    </font>
    <font>
      <name val="Arial"/>
      <b val="1"/>
      <color rgb="003B2F2A"/>
      <sz val="10"/>
    </font>
    <font>
      <name val="Arial"/>
      <i val="1"/>
      <color rgb="006E5F57"/>
      <sz val="10"/>
    </font>
    <font>
      <name val="Arial"/>
      <color rgb="006E5F57"/>
      <sz val="10"/>
    </font>
    <font>
      <name val="Arial"/>
      <color rgb="002F5D50"/>
      <sz val="9"/>
    </font>
    <font>
      <name val="Arial"/>
      <color rgb="00D9A441"/>
      <sz val="9"/>
    </font>
    <font>
      <name val="Arial"/>
      <i val="1"/>
      <color rgb="006E5F57"/>
      <sz val="9"/>
    </font>
    <font>
      <name val="Arial"/>
      <b val="1"/>
      <color rgb="00B23A3A"/>
      <sz val="10"/>
    </font>
    <font>
      <name val="Georgia"/>
      <b val="1"/>
      <color rgb="002F5D50"/>
      <sz val="16"/>
    </font>
    <font>
      <name val="Georgia"/>
      <b val="1"/>
      <color rgb="00B23A3A"/>
      <sz val="13"/>
    </font>
    <font>
      <name val="Georgia"/>
      <b val="1"/>
      <color rgb="003B2F2A"/>
      <sz val="14"/>
    </font>
    <font>
      <name val="Arial"/>
      <b val="1"/>
      <color rgb="002F5D50"/>
      <sz val="10"/>
    </font>
    <font>
      <name val="Georgia"/>
      <b val="1"/>
      <color rgb="002F5D50"/>
      <sz val="14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2F5D50"/>
        <bgColor rgb="002F5D50"/>
      </patternFill>
    </fill>
    <fill>
      <patternFill patternType="solid">
        <fgColor rgb="00B23A3A"/>
        <bgColor rgb="00B23A3A"/>
      </patternFill>
    </fill>
    <fill>
      <patternFill patternType="solid">
        <fgColor rgb="00FDF3DC"/>
        <bgColor rgb="00FDF3DC"/>
      </patternFill>
    </fill>
    <fill>
      <patternFill patternType="solid">
        <fgColor rgb="00FFFFFF"/>
        <bgColor rgb="00FFFFFF"/>
      </patternFill>
    </fill>
    <fill>
      <patternFill patternType="solid">
        <fgColor rgb="00EAF1EE"/>
        <bgColor rgb="00EAF1EE"/>
      </patternFill>
    </fill>
  </fills>
  <borders count="5">
    <border>
      <left/>
      <right/>
      <top/>
      <bottom/>
      <diagonal/>
    </border>
    <border>
      <left style="thin">
        <color rgb="00D7E2DC"/>
      </left>
      <right style="thin">
        <color rgb="00D7E2DC"/>
      </right>
      <top style="thin">
        <color rgb="00D7E2DC"/>
      </top>
      <bottom style="thin">
        <color rgb="00D7E2DC"/>
      </bottom>
    </border>
    <border>
      <left/>
      <right/>
      <top style="thin">
        <color rgb="00D7E2DC"/>
      </top>
      <bottom/>
      <diagonal/>
    </border>
    <border>
      <left/>
      <right style="thin">
        <color rgb="00D7E2DC"/>
      </right>
      <top style="thin">
        <color rgb="00D7E2DC"/>
      </top>
      <bottom/>
      <diagonal/>
    </border>
    <border>
      <left/>
      <right style="thin">
        <color rgb="00D7E2DC"/>
      </right>
      <top style="thin">
        <color rgb="00D7E2DC"/>
      </top>
      <bottom style="thin">
        <color rgb="00D7E2D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13" fillId="0" borderId="0" pivotButton="0" quotePrefix="0" xfId="0"/>
    <xf numFmtId="0" fontId="4" fillId="0" borderId="0" applyAlignment="1" pivotButton="0" quotePrefix="0" xfId="0">
      <alignment vertical="center" wrapText="1"/>
    </xf>
    <xf numFmtId="0" fontId="0" fillId="4" borderId="1" pivotButton="0" quotePrefix="0" xfId="0"/>
    <xf numFmtId="0" fontId="5" fillId="0" borderId="0" applyAlignment="1" pivotButton="0" quotePrefix="0" xfId="0">
      <alignment vertical="center" wrapText="1"/>
    </xf>
    <xf numFmtId="166" fontId="12" fillId="0" borderId="0" pivotButton="0" quotePrefix="0" xfId="0"/>
    <xf numFmtId="0" fontId="13" fillId="0" borderId="0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164" fontId="1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164" fontId="16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vertical="center"/>
    </xf>
    <xf numFmtId="9" fontId="5" fillId="5" borderId="1" applyAlignment="1" pivotButton="0" quotePrefix="0" xfId="0">
      <alignment horizontal="right" vertical="center"/>
    </xf>
    <xf numFmtId="0" fontId="0" fillId="0" borderId="4" pivotButton="0" quotePrefix="0" xfId="0"/>
    <xf numFmtId="164" fontId="5" fillId="5" borderId="1" applyAlignment="1" pivotButton="0" quotePrefix="0" xfId="0">
      <alignment horizontal="right" vertical="center"/>
    </xf>
    <xf numFmtId="0" fontId="17" fillId="3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0" fontId="1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9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164" fontId="7" fillId="5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164" fontId="3" fillId="2" borderId="1" applyAlignment="1" pivotButton="0" quotePrefix="0" xfId="0">
      <alignment vertical="center"/>
    </xf>
    <xf numFmtId="9" fontId="3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right" vertical="center"/>
    </xf>
    <xf numFmtId="1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165" fontId="4" fillId="5" borderId="1" applyAlignment="1" pivotButton="0" quotePrefix="0" xfId="0">
      <alignment vertical="center"/>
    </xf>
    <xf numFmtId="9" fontId="5" fillId="5" borderId="1" applyAlignment="1" pivotButton="0" quotePrefix="0" xfId="0">
      <alignment vertical="center"/>
    </xf>
    <xf numFmtId="1" fontId="4" fillId="5" borderId="1" applyAlignment="1" pivotButton="0" quotePrefix="0" xfId="0">
      <alignment vertical="center"/>
    </xf>
    <xf numFmtId="164" fontId="11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ont>
        <b val="1"/>
        <color rgb="00B23A3A"/>
      </font>
    </dxf>
    <dxf>
      <font>
        <color rgb="00B23A3A"/>
      </font>
    </dxf>
    <dxf>
      <font>
        <b val="1"/>
        <color rgb="002F5D50"/>
      </font>
    </dxf>
    <dxf>
      <font>
        <b val="1"/>
        <color rgb="002F5D50"/>
      </font>
      <fill>
        <patternFill patternType="solid">
          <fgColor rgb="00D9EAD3"/>
          <bgColor rgb="00D9EAD3"/>
        </patternFill>
      </fill>
    </dxf>
    <dxf>
      <font>
        <color rgb="008C9A9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9A441"/>
    <outlinePr summaryBelow="1" summaryRight="1"/>
    <pageSetUpPr fitToPage="1"/>
  </sheetPr>
  <dimension ref="A1:B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 ht="38" customHeight="1">
      <c r="A1" s="1" t="inlineStr">
        <is>
          <t>Christmas Gift &amp; Budget Tracker</t>
        </is>
      </c>
      <c r="B1" s="2" t="n"/>
    </row>
    <row r="2" ht="22" customHeight="1">
      <c r="A2" s="3" t="inlineStr">
        <is>
          <t>Pantry Printable Co.  ·  Excel + Google Sheets  ·  Made for one household, for personal use</t>
        </is>
      </c>
      <c r="B2" s="2" t="n"/>
    </row>
    <row r="3" ht="8" customHeight="1"/>
    <row r="4" ht="26" customHeight="1">
      <c r="B4" s="4" t="inlineStr">
        <is>
          <t>Open it</t>
        </is>
      </c>
    </row>
    <row r="5" ht="30" customHeight="1">
      <c r="B5" s="5" t="inlineStr">
        <is>
          <t>Google Sheets: go to sheets.google.com, then File &gt; Import &gt; Upload and pick this file (or upload it to Google Drive, open it and choose File &gt; Save as Google Sheets).</t>
        </is>
      </c>
    </row>
    <row r="6" ht="18" customHeight="1">
      <c r="B6" s="5" t="inlineStr">
        <is>
          <t>Excel: double-click the file. If you see a yellow 'Protected View' bar, click Enable Editing.</t>
        </is>
      </c>
    </row>
    <row r="7" ht="18" customHeight="1">
      <c r="B7" s="5" t="inlineStr">
        <is>
          <t>Tip: keep this file as your clean copy and use File &gt; Save as (or Make a copy) for this year.</t>
        </is>
      </c>
    </row>
    <row r="8" ht="26" customHeight="1">
      <c r="B8" s="4" t="inlineStr">
        <is>
          <t>Colors</t>
        </is>
      </c>
    </row>
    <row r="9" ht="18" customHeight="1">
      <c r="A9" s="6" t="n"/>
      <c r="B9" s="5" t="inlineStr">
        <is>
          <t>Cream cells: type here.</t>
        </is>
      </c>
    </row>
    <row r="10" ht="30" customHeight="1">
      <c r="B10" s="5" t="inlineStr">
        <is>
          <t>White cells calculate by themselves. Please don't type over them (except the Gifts budget, see the Budget tab).</t>
        </is>
      </c>
    </row>
    <row r="11" ht="26" customHeight="1">
      <c r="B11" s="4" t="inlineStr">
        <is>
          <t>Five steps</t>
        </is>
      </c>
    </row>
    <row r="12" ht="18" customHeight="1">
      <c r="B12" s="7" t="inlineStr">
        <is>
          <t>1. People: list everyone you're buying for, with a budget for each.</t>
        </is>
      </c>
    </row>
    <row r="13" ht="18" customHeight="1">
      <c r="B13" s="7" t="inlineStr">
        <is>
          <t>2. Gift Tracker: add gift ideas. Pick the person from the dropdown and type a price.</t>
        </is>
      </c>
    </row>
    <row r="14" ht="18" customHeight="1">
      <c r="B14" s="7" t="inlineStr">
        <is>
          <t>3. When you buy, wrap or give a gift, set Bought?, Wrapped? or Given? to Yes.</t>
        </is>
      </c>
    </row>
    <row r="15" ht="30" customHeight="1">
      <c r="B15" s="7" t="inlineStr">
        <is>
          <t>4. Budget: set a budget for food, decorations, cards and the rest; log those costs in the Expense Log.</t>
        </is>
      </c>
    </row>
    <row r="16" ht="30" customHeight="1">
      <c r="B16" s="7" t="inlineStr">
        <is>
          <t>5. Dashboard: see what's spent, what's left and how many gifts are still to buy. Savings plan optional.</t>
        </is>
      </c>
    </row>
    <row r="17" ht="26" customHeight="1">
      <c r="B17" s="4" t="inlineStr">
        <is>
          <t>How the totals work</t>
        </is>
      </c>
    </row>
    <row r="18" ht="30" customHeight="1">
      <c r="B18" s="5" t="inlineStr">
        <is>
          <t>Spent counts only gifts marked Bought = Yes. Planned counts every gift on the list, so you can see the total before you shop.</t>
        </is>
      </c>
    </row>
    <row r="19" ht="30" customHeight="1">
      <c r="B19" s="5" t="inlineStr">
        <is>
          <t>Gifts are tracked in the Gift Tracker only. Log everything else (food, wrapping, travel...) in the Expense Log, so nothing is counted twice.</t>
        </is>
      </c>
    </row>
    <row r="20" ht="30" customHeight="1">
      <c r="B20" s="5" t="inlineStr">
        <is>
          <t>Room for 50 people, 300 gifts, 400 expenses and 52 savings weeks. Need more? Insert rows in the middle of a list (not below it) so the totals include them.</t>
        </is>
      </c>
    </row>
    <row r="21" ht="30" customHeight="1">
      <c r="B21" s="5" t="inlineStr">
        <is>
          <t>Not in US dollars? Select the money columns, then Format &gt; Number &gt; Currency (Google Sheets) or Home &gt; Number format (Excel).</t>
        </is>
      </c>
    </row>
    <row r="22" ht="26" customHeight="1">
      <c r="B22" s="4" t="inlineStr">
        <is>
          <t>Good to know</t>
        </is>
      </c>
    </row>
    <row r="23" ht="30" customHeight="1">
      <c r="B23" s="5" t="inlineStr">
        <is>
          <t>There's an example copy with sample data (Christmas-Gift-Budget-Tracker-Example.xlsx) so you can see it filled in.</t>
        </is>
      </c>
    </row>
    <row r="24" ht="30" customHeight="1">
      <c r="B24" s="5" t="inlineStr">
        <is>
          <t>This is a digital file for personal use. Please don't resell or share it. Questions? Message us on Etsy; we're happy to help.</t>
        </is>
      </c>
    </row>
    <row r="25" ht="18" customHeight="1">
      <c r="B25" s="5" t="inlineStr">
        <is>
          <t>Merry Christmas from Pantry Printable Co.</t>
        </is>
      </c>
    </row>
  </sheetData>
  <mergeCells count="2">
    <mergeCell ref="A2:B2"/>
    <mergeCell ref="A1:B1"/>
  </mergeCells>
  <printOptions horizontalCentered="1"/>
  <pageMargins left="0.4" right="0.4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2F5D50"/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28" customWidth="1" min="4" max="4"/>
    <col width="16" customWidth="1" min="5" max="5"/>
    <col width="28" customWidth="1" min="6" max="6"/>
  </cols>
  <sheetData>
    <row r="1" ht="38" customHeight="1">
      <c r="A1" s="1" t="inlineStr">
        <is>
          <t>Christmas Gift &amp; Budget Tracker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Your Christmas at a glance. Everything on this page fills in by itself.</t>
        </is>
      </c>
      <c r="B2" s="2" t="n"/>
      <c r="C2" s="2" t="n"/>
      <c r="D2" s="2" t="n"/>
      <c r="E2" s="2" t="n"/>
      <c r="F2" s="2" t="n"/>
    </row>
    <row r="3" ht="8" customHeight="1"/>
    <row r="4" ht="30" customHeight="1">
      <c r="A4" s="8">
        <f>IF(TODAY()&gt;DATE(YEAR(TODAY()),12,25),DATE(YEAR(TODAY())+1,12,25),DATE(YEAR(TODAY()),12,25))-TODAY()</f>
        <v/>
      </c>
    </row>
    <row r="6">
      <c r="A6" s="9" t="inlineStr">
        <is>
          <t>Money</t>
        </is>
      </c>
      <c r="D6" s="9" t="inlineStr">
        <is>
          <t>Gifts</t>
        </is>
      </c>
    </row>
    <row r="7" ht="24" customHeight="1">
      <c r="A7" s="10" t="inlineStr">
        <is>
          <t>Total budget</t>
        </is>
      </c>
      <c r="B7" s="11">
        <f>Budget!B20</f>
        <v/>
      </c>
      <c r="D7" s="10" t="inlineStr">
        <is>
          <t>People on your list</t>
        </is>
      </c>
      <c r="E7" s="12">
        <f>COUNTA(People!$A$6:$A$55)</f>
        <v/>
      </c>
    </row>
    <row r="8" ht="24" customHeight="1">
      <c r="A8" s="10" t="inlineStr">
        <is>
          <t>Spent so far</t>
        </is>
      </c>
      <c r="B8" s="11">
        <f>Budget!C20</f>
        <v/>
      </c>
      <c r="D8" s="10" t="inlineStr">
        <is>
          <t>Gifts on the list</t>
        </is>
      </c>
      <c r="E8" s="12">
        <f>COUNTA('Gift Tracker'!$B$5:$B$304)</f>
        <v/>
      </c>
    </row>
    <row r="9" ht="24" customHeight="1">
      <c r="A9" s="10" t="inlineStr">
        <is>
          <t>Left to spend</t>
        </is>
      </c>
      <c r="B9" s="13">
        <f>Budget!D20</f>
        <v/>
      </c>
      <c r="D9" s="10" t="inlineStr">
        <is>
          <t>Bought</t>
        </is>
      </c>
      <c r="E9" s="12">
        <f>COUNTIF('Gift Tracker'!$E$5:$E$304,"Yes")</f>
        <v/>
      </c>
      <c r="F9" s="14">
        <f>IF(COUNTA('Gift Tracker'!$B$5:$B$304)=0,"",REPT("█",ROUND(MIN(1,MAX(0,E9/COUNTA('Gift Tracker'!$B$5:$B$304)))*20,0))&amp;REPT("░",20-ROUND(MIN(1,MAX(0,E9/COUNTA('Gift Tracker'!$B$5:$B$304)))*20,0)))</f>
        <v/>
      </c>
    </row>
    <row r="10">
      <c r="A10" s="10" t="inlineStr">
        <is>
          <t>Budget used</t>
        </is>
      </c>
      <c r="B10" s="15">
        <f>Budget!E20</f>
        <v/>
      </c>
      <c r="D10" s="10" t="inlineStr">
        <is>
          <t>Wrapped</t>
        </is>
      </c>
      <c r="E10" s="12">
        <f>COUNTIF('Gift Tracker'!$F$5:$F$304,"Yes")</f>
        <v/>
      </c>
      <c r="F10" s="14">
        <f>IF(COUNTA('Gift Tracker'!$B$5:$B$304)=0,"",REPT("█",ROUND(MIN(1,MAX(0,E10/COUNTA('Gift Tracker'!$B$5:$B$304)))*20,0))&amp;REPT("░",20-ROUND(MIN(1,MAX(0,E10/COUNTA('Gift Tracker'!$B$5:$B$304)))*20,0)))</f>
        <v/>
      </c>
    </row>
    <row r="11">
      <c r="A11" s="14">
        <f>IF(B10="","",REPT("█",ROUND(MIN(1,MAX(0,B10))*20,0))&amp;REPT("░",20-ROUND(MIN(1,MAX(0,B10))*20,0)))</f>
        <v/>
      </c>
      <c r="B11" s="16" t="n"/>
      <c r="D11" s="10" t="inlineStr">
        <is>
          <t>Given</t>
        </is>
      </c>
      <c r="E11" s="12">
        <f>COUNTIF('Gift Tracker'!$G$5:$G$304,"Yes")</f>
        <v/>
      </c>
      <c r="F11" s="14">
        <f>IF(COUNTA('Gift Tracker'!$B$5:$B$304)=0,"",REPT("█",ROUND(MIN(1,MAX(0,E11/COUNTA('Gift Tracker'!$B$5:$B$304)))*20,0))&amp;REPT("░",20-ROUND(MIN(1,MAX(0,E11/COUNTA('Gift Tracker'!$B$5:$B$304)))*20,0)))</f>
        <v/>
      </c>
    </row>
    <row r="12">
      <c r="D12" s="10" t="inlineStr">
        <is>
          <t>People over budget</t>
        </is>
      </c>
      <c r="E12" s="12">
        <f>COUNTIF(People!$K$6:$K$55,"Over budget")</f>
        <v/>
      </c>
    </row>
    <row r="13">
      <c r="A13" s="9" t="inlineStr">
        <is>
          <t>Savings</t>
        </is>
      </c>
    </row>
    <row r="14">
      <c r="A14" s="10" t="inlineStr">
        <is>
          <t>Savings goal</t>
        </is>
      </c>
      <c r="B14" s="17">
        <f>IF(Savings!B4="","",Savings!B4)</f>
        <v/>
      </c>
      <c r="D14" s="9" t="inlineStr">
        <is>
          <t>Spending by category</t>
        </is>
      </c>
    </row>
    <row r="15">
      <c r="A15" s="10" t="inlineStr">
        <is>
          <t>Saved so far</t>
        </is>
      </c>
      <c r="B15" s="17">
        <f>Savings!D4</f>
        <v/>
      </c>
      <c r="D15" s="18" t="inlineStr">
        <is>
          <t>Category</t>
        </is>
      </c>
      <c r="E15" s="18" t="inlineStr">
        <is>
          <t>Spent</t>
        </is>
      </c>
      <c r="F15" s="18" t="inlineStr">
        <is>
          <t>of budget</t>
        </is>
      </c>
    </row>
    <row r="16">
      <c r="A16" s="14">
        <f>IF(Savings!D6="","",REPT("█",ROUND(MIN(1,MAX(0,Savings!D6))*20,0))&amp;REPT("░",20-ROUND(MIN(1,MAX(0,Savings!D6))*20,0)))</f>
        <v/>
      </c>
      <c r="B16" s="16" t="n"/>
      <c r="D16" s="19">
        <f>IF(Budget!A5="","",Budget!A5)</f>
        <v/>
      </c>
      <c r="E16" s="20">
        <f>IF(Budget!A5="","",Budget!C5)</f>
        <v/>
      </c>
      <c r="F16" s="14">
        <f>Budget!F5</f>
        <v/>
      </c>
    </row>
    <row r="17">
      <c r="D17" s="19">
        <f>IF(Budget!A6="","",Budget!A6)</f>
        <v/>
      </c>
      <c r="E17" s="20">
        <f>IF(Budget!A6="","",Budget!C6)</f>
        <v/>
      </c>
      <c r="F17" s="14">
        <f>Budget!F6</f>
        <v/>
      </c>
    </row>
    <row r="18">
      <c r="D18" s="19">
        <f>IF(Budget!A7="","",Budget!A7)</f>
        <v/>
      </c>
      <c r="E18" s="20">
        <f>IF(Budget!A7="","",Budget!C7)</f>
        <v/>
      </c>
      <c r="F18" s="14">
        <f>Budget!F7</f>
        <v/>
      </c>
    </row>
    <row r="19">
      <c r="A19" s="9" t="inlineStr">
        <is>
          <t>Checks</t>
        </is>
      </c>
      <c r="D19" s="19">
        <f>IF(Budget!A8="","",Budget!A8)</f>
        <v/>
      </c>
      <c r="E19" s="20">
        <f>IF(Budget!A8="","",Budget!C8)</f>
        <v/>
      </c>
      <c r="F19" s="14">
        <f>Budget!F8</f>
        <v/>
      </c>
    </row>
    <row r="20">
      <c r="A20" s="10" t="inlineStr">
        <is>
          <t>Expenses not in a category</t>
        </is>
      </c>
      <c r="B20" s="17">
        <f>Budget!C18</f>
        <v/>
      </c>
      <c r="D20" s="19">
        <f>IF(Budget!A9="","",Budget!A9)</f>
        <v/>
      </c>
      <c r="E20" s="20">
        <f>IF(Budget!A9="","",Budget!C9)</f>
        <v/>
      </c>
      <c r="F20" s="14">
        <f>Budget!F9</f>
        <v/>
      </c>
    </row>
    <row r="21">
      <c r="A21" s="10" t="inlineStr">
        <is>
          <t>Gifts for names not on People</t>
        </is>
      </c>
      <c r="B21" s="12">
        <f>COUNTA('Gift Tracker'!$A$5:$A$304)-People!G57</f>
        <v/>
      </c>
      <c r="D21" s="19">
        <f>IF(Budget!A10="","",Budget!A10)</f>
        <v/>
      </c>
      <c r="E21" s="20">
        <f>IF(Budget!A10="","",Budget!C10)</f>
        <v/>
      </c>
      <c r="F21" s="14">
        <f>Budget!F10</f>
        <v/>
      </c>
    </row>
    <row r="22">
      <c r="A22" s="21" t="inlineStr">
        <is>
          <t>Both should be 0. If not, check spelling on the Gift Tracker and Expense Log.</t>
        </is>
      </c>
      <c r="D22" s="19">
        <f>IF(Budget!A11="","",Budget!A11)</f>
        <v/>
      </c>
      <c r="E22" s="20">
        <f>IF(Budget!A11="","",Budget!C11)</f>
        <v/>
      </c>
      <c r="F22" s="14">
        <f>Budget!F11</f>
        <v/>
      </c>
    </row>
    <row r="23">
      <c r="D23" s="19">
        <f>IF(Budget!A12="","",Budget!A12)</f>
        <v/>
      </c>
      <c r="E23" s="20">
        <f>IF(Budget!A12="","",Budget!C12)</f>
        <v/>
      </c>
      <c r="F23" s="14">
        <f>Budget!F12</f>
        <v/>
      </c>
    </row>
    <row r="24">
      <c r="D24" s="19">
        <f>IF(Budget!A13="","",Budget!A13)</f>
        <v/>
      </c>
      <c r="E24" s="20">
        <f>IF(Budget!A13="","",Budget!C13)</f>
        <v/>
      </c>
      <c r="F24" s="14">
        <f>Budget!F13</f>
        <v/>
      </c>
    </row>
    <row r="25">
      <c r="D25" s="19">
        <f>IF(Budget!A14="","",Budget!A14)</f>
        <v/>
      </c>
      <c r="E25" s="20">
        <f>IF(Budget!A14="","",Budget!C14)</f>
        <v/>
      </c>
      <c r="F25" s="14">
        <f>Budget!F14</f>
        <v/>
      </c>
    </row>
    <row r="26">
      <c r="D26" s="19">
        <f>IF(Budget!A15="","",Budget!A15)</f>
        <v/>
      </c>
      <c r="E26" s="20">
        <f>IF(Budget!A15="","",Budget!C15)</f>
        <v/>
      </c>
      <c r="F26" s="14">
        <f>Budget!F15</f>
        <v/>
      </c>
    </row>
    <row r="27">
      <c r="D27" s="19">
        <f>IF(Budget!A16="","",Budget!A16)</f>
        <v/>
      </c>
      <c r="E27" s="20">
        <f>IF(Budget!A16="","",Budget!C16)</f>
        <v/>
      </c>
      <c r="F27" s="14">
        <f>Budget!F16</f>
        <v/>
      </c>
    </row>
    <row r="28">
      <c r="D28" s="19">
        <f>IF(Budget!A17="","",Budget!A17)</f>
        <v/>
      </c>
      <c r="E28" s="20">
        <f>IF(Budget!A17="","",Budget!C17)</f>
        <v/>
      </c>
      <c r="F28" s="14">
        <f>Budget!F17</f>
        <v/>
      </c>
    </row>
  </sheetData>
  <mergeCells count="6">
    <mergeCell ref="A4:B4"/>
    <mergeCell ref="A2:F2"/>
    <mergeCell ref="A22:B23"/>
    <mergeCell ref="A16:B16"/>
    <mergeCell ref="A11:B11"/>
    <mergeCell ref="A1:F1"/>
  </mergeCells>
  <conditionalFormatting sqref="B9">
    <cfRule type="expression" priority="1" dxfId="0">
      <formula>AND(ISNUMBER(B9),B9&lt;0)</formula>
    </cfRule>
  </conditionalFormatting>
  <conditionalFormatting sqref="E12">
    <cfRule type="expression" priority="2" dxfId="0">
      <formula>E12&gt;0</formula>
    </cfRule>
  </conditionalFormatting>
  <conditionalFormatting sqref="B20:B21">
    <cfRule type="expression" priority="3" dxfId="0">
      <formula>B20&lt;&gt;0</formula>
    </cfRule>
  </conditionalFormatting>
  <printOptions horizontalCentered="1"/>
  <pageMargins left="0.4" right="0.4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B23A3A"/>
    <outlinePr summaryBelow="1" summaryRight="1"/>
    <pageSetUpPr fitToPage="1"/>
  </sheetPr>
  <dimension ref="A1:F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  <col width="26" customWidth="1" min="6" max="6"/>
  </cols>
  <sheetData>
    <row r="1" ht="38" customHeight="1">
      <c r="A1" s="1" t="inlineStr">
        <is>
          <t>Holiday Budget by Category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Type a budget per category. Spent fills in from the Gift Tracker (gifts) and the Expense Log (everything else).</t>
        </is>
      </c>
      <c r="B2" s="2" t="n"/>
      <c r="C2" s="2" t="n"/>
      <c r="D2" s="2" t="n"/>
      <c r="E2" s="2" t="n"/>
      <c r="F2" s="2" t="n"/>
    </row>
    <row r="3" ht="8" customHeight="1"/>
    <row r="4" ht="30" customHeight="1">
      <c r="A4" s="22" t="inlineStr">
        <is>
          <t>Category</t>
        </is>
      </c>
      <c r="B4" s="22" t="inlineStr">
        <is>
          <t>Budget</t>
        </is>
      </c>
      <c r="C4" s="22" t="inlineStr">
        <is>
          <t>Spent</t>
        </is>
      </c>
      <c r="D4" s="22" t="inlineStr">
        <is>
          <t>Left</t>
        </is>
      </c>
      <c r="E4" s="22" t="inlineStr">
        <is>
          <t>% used</t>
        </is>
      </c>
      <c r="F4" s="22" t="inlineStr">
        <is>
          <t>Progress</t>
        </is>
      </c>
    </row>
    <row r="5">
      <c r="A5" s="23" t="inlineStr">
        <is>
          <t>Gifts (from Gift Tracker)</t>
        </is>
      </c>
      <c r="B5" s="24">
        <f>People!C57</f>
        <v/>
      </c>
      <c r="C5" s="20">
        <f>SUMIFS('Gift Tracker'!$D$5:$D$304,'Gift Tracker'!$E$5:$E$304,"Yes")</f>
        <v/>
      </c>
      <c r="D5" s="20">
        <f>IF(A5="","",N(B5)-N(C5))</f>
        <v/>
      </c>
      <c r="E5" s="25">
        <f>IF(OR(A5="",N(B5)=0),"",N(C5)/B5)</f>
        <v/>
      </c>
      <c r="F5" s="14">
        <f>IF(E5="","",REPT("█",ROUND(MIN(1,MAX(0,E5))*20,0))&amp;REPT("░",20-ROUND(MIN(1,MAX(0,E5))*20,0)))</f>
        <v/>
      </c>
    </row>
    <row r="6">
      <c r="A6" s="26" t="inlineStr">
        <is>
          <t>Food &amp; treats</t>
        </is>
      </c>
      <c r="B6" s="24" t="n">
        <v>250</v>
      </c>
      <c r="C6" s="20">
        <f>IF(A6="","",SUMIFS('Expense Log'!$D$5:$D$404,'Expense Log'!$C$5:$C$404,A6))</f>
        <v/>
      </c>
      <c r="D6" s="20">
        <f>IF(A6="","",N(B6)-N(C6))</f>
        <v/>
      </c>
      <c r="E6" s="25">
        <f>IF(OR(A6="",N(B6)=0),"",N(C6)/B6)</f>
        <v/>
      </c>
      <c r="F6" s="14">
        <f>IF(E6="","",REPT("█",ROUND(MIN(1,MAX(0,E6))*20,0))&amp;REPT("░",20-ROUND(MIN(1,MAX(0,E6))*20,0)))</f>
        <v/>
      </c>
    </row>
    <row r="7">
      <c r="A7" s="26" t="inlineStr">
        <is>
          <t>Decorations</t>
        </is>
      </c>
      <c r="B7" s="24" t="n">
        <v>80</v>
      </c>
      <c r="C7" s="20">
        <f>IF(A7="","",SUMIFS('Expense Log'!$D$5:$D$404,'Expense Log'!$C$5:$C$404,A7))</f>
        <v/>
      </c>
      <c r="D7" s="20">
        <f>IF(A7="","",N(B7)-N(C7))</f>
        <v/>
      </c>
      <c r="E7" s="25">
        <f>IF(OR(A7="",N(B7)=0),"",N(C7)/B7)</f>
        <v/>
      </c>
      <c r="F7" s="14">
        <f>IF(E7="","",REPT("█",ROUND(MIN(1,MAX(0,E7))*20,0))&amp;REPT("░",20-ROUND(MIN(1,MAX(0,E7))*20,0)))</f>
        <v/>
      </c>
    </row>
    <row r="8">
      <c r="A8" s="26" t="inlineStr">
        <is>
          <t>Wrapping &amp; tags</t>
        </is>
      </c>
      <c r="B8" s="24" t="n">
        <v>30</v>
      </c>
      <c r="C8" s="20">
        <f>IF(A8="","",SUMIFS('Expense Log'!$D$5:$D$404,'Expense Log'!$C$5:$C$404,A8))</f>
        <v/>
      </c>
      <c r="D8" s="20">
        <f>IF(A8="","",N(B8)-N(C8))</f>
        <v/>
      </c>
      <c r="E8" s="25">
        <f>IF(OR(A8="",N(B8)=0),"",N(C8)/B8)</f>
        <v/>
      </c>
      <c r="F8" s="14">
        <f>IF(E8="","",REPT("█",ROUND(MIN(1,MAX(0,E8))*20,0))&amp;REPT("░",20-ROUND(MIN(1,MAX(0,E8))*20,0)))</f>
        <v/>
      </c>
    </row>
    <row r="9">
      <c r="A9" s="26" t="inlineStr">
        <is>
          <t>Cards &amp; postage</t>
        </is>
      </c>
      <c r="B9" s="24" t="n">
        <v>40</v>
      </c>
      <c r="C9" s="20">
        <f>IF(A9="","",SUMIFS('Expense Log'!$D$5:$D$404,'Expense Log'!$C$5:$C$404,A9))</f>
        <v/>
      </c>
      <c r="D9" s="20">
        <f>IF(A9="","",N(B9)-N(C9))</f>
        <v/>
      </c>
      <c r="E9" s="25">
        <f>IF(OR(A9="",N(B9)=0),"",N(C9)/B9)</f>
        <v/>
      </c>
      <c r="F9" s="14">
        <f>IF(E9="","",REPT("█",ROUND(MIN(1,MAX(0,E9))*20,0))&amp;REPT("░",20-ROUND(MIN(1,MAX(0,E9))*20,0)))</f>
        <v/>
      </c>
    </row>
    <row r="10">
      <c r="A10" s="26" t="inlineStr">
        <is>
          <t>Parties &amp; hosting</t>
        </is>
      </c>
      <c r="B10" s="24" t="n">
        <v>100</v>
      </c>
      <c r="C10" s="20">
        <f>IF(A10="","",SUMIFS('Expense Log'!$D$5:$D$404,'Expense Log'!$C$5:$C$404,A10))</f>
        <v/>
      </c>
      <c r="D10" s="20">
        <f>IF(A10="","",N(B10)-N(C10))</f>
        <v/>
      </c>
      <c r="E10" s="25">
        <f>IF(OR(A10="",N(B10)=0),"",N(C10)/B10)</f>
        <v/>
      </c>
      <c r="F10" s="14">
        <f>IF(E10="","",REPT("█",ROUND(MIN(1,MAX(0,E10))*20,0))&amp;REPT("░",20-ROUND(MIN(1,MAX(0,E10))*20,0)))</f>
        <v/>
      </c>
    </row>
    <row r="11">
      <c r="A11" s="26" t="inlineStr">
        <is>
          <t>Travel</t>
        </is>
      </c>
      <c r="B11" s="24" t="n">
        <v>200</v>
      </c>
      <c r="C11" s="20">
        <f>IF(A11="","",SUMIFS('Expense Log'!$D$5:$D$404,'Expense Log'!$C$5:$C$404,A11))</f>
        <v/>
      </c>
      <c r="D11" s="20">
        <f>IF(A11="","",N(B11)-N(C11))</f>
        <v/>
      </c>
      <c r="E11" s="25">
        <f>IF(OR(A11="",N(B11)=0),"",N(C11)/B11)</f>
        <v/>
      </c>
      <c r="F11" s="14">
        <f>IF(E11="","",REPT("█",ROUND(MIN(1,MAX(0,E11))*20,0))&amp;REPT("░",20-ROUND(MIN(1,MAX(0,E11))*20,0)))</f>
        <v/>
      </c>
    </row>
    <row r="12">
      <c r="A12" s="26" t="inlineStr">
        <is>
          <t>Outfits</t>
        </is>
      </c>
      <c r="B12" s="24" t="n">
        <v>60</v>
      </c>
      <c r="C12" s="20">
        <f>IF(A12="","",SUMIFS('Expense Log'!$D$5:$D$404,'Expense Log'!$C$5:$C$404,A12))</f>
        <v/>
      </c>
      <c r="D12" s="20">
        <f>IF(A12="","",N(B12)-N(C12))</f>
        <v/>
      </c>
      <c r="E12" s="25">
        <f>IF(OR(A12="",N(B12)=0),"",N(C12)/B12)</f>
        <v/>
      </c>
      <c r="F12" s="14">
        <f>IF(E12="","",REPT("█",ROUND(MIN(1,MAX(0,E12))*20,0))&amp;REPT("░",20-ROUND(MIN(1,MAX(0,E12))*20,0)))</f>
        <v/>
      </c>
    </row>
    <row r="13">
      <c r="A13" s="26" t="inlineStr">
        <is>
          <t>Charity &amp; giving</t>
        </is>
      </c>
      <c r="B13" s="24" t="n">
        <v>50</v>
      </c>
      <c r="C13" s="20">
        <f>IF(A13="","",SUMIFS('Expense Log'!$D$5:$D$404,'Expense Log'!$C$5:$C$404,A13))</f>
        <v/>
      </c>
      <c r="D13" s="20">
        <f>IF(A13="","",N(B13)-N(C13))</f>
        <v/>
      </c>
      <c r="E13" s="25">
        <f>IF(OR(A13="",N(B13)=0),"",N(C13)/B13)</f>
        <v/>
      </c>
      <c r="F13" s="14">
        <f>IF(E13="","",REPT("█",ROUND(MIN(1,MAX(0,E13))*20,0))&amp;REPT("░",20-ROUND(MIN(1,MAX(0,E13))*20,0)))</f>
        <v/>
      </c>
    </row>
    <row r="14">
      <c r="A14" s="26" t="inlineStr">
        <is>
          <t>Kids' activities</t>
        </is>
      </c>
      <c r="B14" s="24" t="n">
        <v>40</v>
      </c>
      <c r="C14" s="20">
        <f>IF(A14="","",SUMIFS('Expense Log'!$D$5:$D$404,'Expense Log'!$C$5:$C$404,A14))</f>
        <v/>
      </c>
      <c r="D14" s="20">
        <f>IF(A14="","",N(B14)-N(C14))</f>
        <v/>
      </c>
      <c r="E14" s="25">
        <f>IF(OR(A14="",N(B14)=0),"",N(C14)/B14)</f>
        <v/>
      </c>
      <c r="F14" s="14">
        <f>IF(E14="","",REPT("█",ROUND(MIN(1,MAX(0,E14))*20,0))&amp;REPT("░",20-ROUND(MIN(1,MAX(0,E14))*20,0)))</f>
        <v/>
      </c>
    </row>
    <row r="15">
      <c r="A15" s="26" t="inlineStr">
        <is>
          <t>Other</t>
        </is>
      </c>
      <c r="B15" s="24" t="n">
        <v>30</v>
      </c>
      <c r="C15" s="20">
        <f>IF(A15="","",SUMIFS('Expense Log'!$D$5:$D$404,'Expense Log'!$C$5:$C$404,A15))</f>
        <v/>
      </c>
      <c r="D15" s="20">
        <f>IF(A15="","",N(B15)-N(C15))</f>
        <v/>
      </c>
      <c r="E15" s="25">
        <f>IF(OR(A15="",N(B15)=0),"",N(C15)/B15)</f>
        <v/>
      </c>
      <c r="F15" s="14">
        <f>IF(E15="","",REPT("█",ROUND(MIN(1,MAX(0,E15))*20,0))&amp;REPT("░",20-ROUND(MIN(1,MAX(0,E15))*20,0)))</f>
        <v/>
      </c>
    </row>
    <row r="16">
      <c r="A16" s="26" t="n"/>
      <c r="B16" s="24" t="n"/>
      <c r="C16" s="20">
        <f>IF(A16="","",SUMIFS('Expense Log'!$D$5:$D$404,'Expense Log'!$C$5:$C$404,A16))</f>
        <v/>
      </c>
      <c r="D16" s="20">
        <f>IF(A16="","",N(B16)-N(C16))</f>
        <v/>
      </c>
      <c r="E16" s="25">
        <f>IF(OR(A16="",N(B16)=0),"",N(C16)/B16)</f>
        <v/>
      </c>
      <c r="F16" s="14">
        <f>IF(E16="","",REPT("█",ROUND(MIN(1,MAX(0,E16))*20,0))&amp;REPT("░",20-ROUND(MIN(1,MAX(0,E16))*20,0)))</f>
        <v/>
      </c>
    </row>
    <row r="17">
      <c r="A17" s="26" t="n"/>
      <c r="B17" s="24" t="n"/>
      <c r="C17" s="20">
        <f>IF(A17="","",SUMIFS('Expense Log'!$D$5:$D$404,'Expense Log'!$C$5:$C$404,A17))</f>
        <v/>
      </c>
      <c r="D17" s="20">
        <f>IF(A17="","",N(B17)-N(C17))</f>
        <v/>
      </c>
      <c r="E17" s="25">
        <f>IF(OR(A17="",N(B17)=0),"",N(C17)/B17)</f>
        <v/>
      </c>
      <c r="F17" s="14">
        <f>IF(E17="","",REPT("█",ROUND(MIN(1,MAX(0,E17))*20,0))&amp;REPT("░",20-ROUND(MIN(1,MAX(0,E17))*20,0)))</f>
        <v/>
      </c>
    </row>
    <row r="18">
      <c r="A18" s="27" t="inlineStr">
        <is>
          <t>Not in a category</t>
        </is>
      </c>
      <c r="B18" s="19" t="n"/>
      <c r="C18" s="28">
        <f>SUM('Expense Log'!$D$5:$D$404)-SUM(C6:C17)</f>
        <v/>
      </c>
      <c r="D18" s="19" t="n"/>
      <c r="E18" s="19" t="n"/>
      <c r="F18" s="19" t="n"/>
    </row>
    <row r="20">
      <c r="A20" s="29" t="inlineStr">
        <is>
          <t>TOTAL</t>
        </is>
      </c>
      <c r="B20" s="30">
        <f>SUM(B5:B17)</f>
        <v/>
      </c>
      <c r="C20" s="30">
        <f>SUM(C5:C18)</f>
        <v/>
      </c>
      <c r="D20" s="30">
        <f>B20-C20</f>
        <v/>
      </c>
      <c r="E20" s="31">
        <f>IF(B20=0,"",C20/B20)</f>
        <v/>
      </c>
      <c r="F20" s="32">
        <f>IF(E20="","",REPT("█",ROUND(MIN(1,MAX(0,E20))*20,0))&amp;REPT("░",20-ROUND(MIN(1,MAX(0,E20))*20,0)))</f>
        <v/>
      </c>
    </row>
    <row r="22">
      <c r="A22" s="21" t="inlineStr">
        <is>
          <t>Tip: the Gifts budget adds up the budgets on the People tab. Type over it if you prefer one number. Rename any category (or use the empty cream rows); the Expense Log dropdown follows.</t>
        </is>
      </c>
    </row>
    <row r="23"/>
  </sheetData>
  <mergeCells count="3">
    <mergeCell ref="A2:F2"/>
    <mergeCell ref="A1:F1"/>
    <mergeCell ref="A22:F23"/>
  </mergeCells>
  <conditionalFormatting sqref="D5:D17">
    <cfRule type="expression" priority="1" dxfId="0">
      <formula>AND(ISNUMBER(D5),D5&lt;0)</formula>
    </cfRule>
  </conditionalFormatting>
  <conditionalFormatting sqref="E5:E17">
    <cfRule type="expression" priority="2" dxfId="0">
      <formula>AND(ISNUMBER(E5),E5&gt;1)</formula>
    </cfRule>
  </conditionalFormatting>
  <conditionalFormatting sqref="F5:F17">
    <cfRule type="expression" priority="3" dxfId="1">
      <formula>AND(ISNUMBER(E5),E5&gt;1)</formula>
    </cfRule>
  </conditionalFormatting>
  <printOptions horizontalCentered="1"/>
  <pageMargins left="0.4" right="0.4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00B23A3A"/>
    <outlinePr summaryBelow="1" summaryRight="1"/>
    <pageSetUpPr fitToPage="1"/>
  </sheetPr>
  <dimension ref="A1:K5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9" customWidth="1" min="9" max="9"/>
    <col width="8" customWidth="1" min="10" max="10"/>
    <col width="18" customWidth="1" min="11" max="11"/>
  </cols>
  <sheetData>
    <row r="1" ht="38" customHeight="1">
      <c r="A1" s="1" t="inlineStr">
        <is>
          <t>Gift Budget by Person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>One row per person. Type a name, group and budget; the rest fills in from the Gift Tracker.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8" customHeight="1"/>
    <row r="4" ht="6" customHeight="1"/>
    <row r="5" ht="30" customHeight="1">
      <c r="A5" s="22" t="inlineStr">
        <is>
          <t>Name</t>
        </is>
      </c>
      <c r="B5" s="22" t="inlineStr">
        <is>
          <t>Group</t>
        </is>
      </c>
      <c r="C5" s="22" t="inlineStr">
        <is>
          <t>Budget</t>
        </is>
      </c>
      <c r="D5" s="22" t="inlineStr">
        <is>
          <t>Planned
(all gifts)</t>
        </is>
      </c>
      <c r="E5" s="22" t="inlineStr">
        <is>
          <t>Spent
(bought)</t>
        </is>
      </c>
      <c r="F5" s="22" t="inlineStr">
        <is>
          <t>Left</t>
        </is>
      </c>
      <c r="G5" s="22" t="inlineStr">
        <is>
          <t>Gifts</t>
        </is>
      </c>
      <c r="H5" s="22" t="inlineStr">
        <is>
          <t>Bought</t>
        </is>
      </c>
      <c r="I5" s="22" t="inlineStr">
        <is>
          <t>Wrapped</t>
        </is>
      </c>
      <c r="J5" s="22" t="inlineStr">
        <is>
          <t>Given</t>
        </is>
      </c>
      <c r="K5" s="22" t="inlineStr">
        <is>
          <t>Status</t>
        </is>
      </c>
    </row>
    <row r="6">
      <c r="A6" s="26" t="inlineStr">
        <is>
          <t>Mom</t>
        </is>
      </c>
      <c r="B6" s="26" t="inlineStr">
        <is>
          <t>Family</t>
        </is>
      </c>
      <c r="C6" s="24" t="n">
        <v>120</v>
      </c>
      <c r="D6" s="20">
        <f>IF($A6="","",SUMIFS('Gift Tracker'!$D$5:$D$304,'Gift Tracker'!$A$5:$A$304,$A6))</f>
        <v/>
      </c>
      <c r="E6" s="20">
        <f>IF($A6="","",SUMIFS('Gift Tracker'!$D$5:$D$304,'Gift Tracker'!$A$5:$A$304,$A6,'Gift Tracker'!$E$5:$E$304,"Yes"))</f>
        <v/>
      </c>
      <c r="F6" s="20">
        <f>IF(OR($A6="",C6=""),"",C6-E6)</f>
        <v/>
      </c>
      <c r="G6" s="33">
        <f>IF($A6="","",COUNTIF('Gift Tracker'!$A$5:$A$304,$A6))</f>
        <v/>
      </c>
      <c r="H6" s="33">
        <f>IF($A6="","",COUNTIFS('Gift Tracker'!$A$5:$A$304,$A6,'Gift Tracker'!$E$5:$E$304,"Yes"))</f>
        <v/>
      </c>
      <c r="I6" s="33">
        <f>IF($A6="","",COUNTIFS('Gift Tracker'!$A$5:$A$304,$A6,'Gift Tracker'!$F$5:$F$304,"Yes"))</f>
        <v/>
      </c>
      <c r="J6" s="33">
        <f>IF($A6="","",COUNTIFS('Gift Tracker'!$A$5:$A$304,$A6,'Gift Tracker'!$G$5:$G$304,"Yes"))</f>
        <v/>
      </c>
      <c r="K6" s="19">
        <f>IF($A6="","",IF(G6=0,"No gift yet",IF(AND(C6&lt;&gt;"",E6&gt;C6),"Over budget",IF(AND(C6&lt;&gt;"",D6&gt;C6,J6&lt;G6),"Plan over budget",IF(J6=G6,"All given ✓",IF(H6&lt;G6,"Shopping",IF(I6&lt;G6,"To wrap","Ready to give")))))))</f>
        <v/>
      </c>
    </row>
    <row r="7">
      <c r="A7" s="26" t="inlineStr">
        <is>
          <t>Dad</t>
        </is>
      </c>
      <c r="B7" s="26" t="inlineStr">
        <is>
          <t>Family</t>
        </is>
      </c>
      <c r="C7" s="24" t="n">
        <v>120</v>
      </c>
      <c r="D7" s="20">
        <f>IF($A7="","",SUMIFS('Gift Tracker'!$D$5:$D$304,'Gift Tracker'!$A$5:$A$304,$A7))</f>
        <v/>
      </c>
      <c r="E7" s="20">
        <f>IF($A7="","",SUMIFS('Gift Tracker'!$D$5:$D$304,'Gift Tracker'!$A$5:$A$304,$A7,'Gift Tracker'!$E$5:$E$304,"Yes"))</f>
        <v/>
      </c>
      <c r="F7" s="20">
        <f>IF(OR($A7="",C7=""),"",C7-E7)</f>
        <v/>
      </c>
      <c r="G7" s="33">
        <f>IF($A7="","",COUNTIF('Gift Tracker'!$A$5:$A$304,$A7))</f>
        <v/>
      </c>
      <c r="H7" s="33">
        <f>IF($A7="","",COUNTIFS('Gift Tracker'!$A$5:$A$304,$A7,'Gift Tracker'!$E$5:$E$304,"Yes"))</f>
        <v/>
      </c>
      <c r="I7" s="33">
        <f>IF($A7="","",COUNTIFS('Gift Tracker'!$A$5:$A$304,$A7,'Gift Tracker'!$F$5:$F$304,"Yes"))</f>
        <v/>
      </c>
      <c r="J7" s="33">
        <f>IF($A7="","",COUNTIFS('Gift Tracker'!$A$5:$A$304,$A7,'Gift Tracker'!$G$5:$G$304,"Yes"))</f>
        <v/>
      </c>
      <c r="K7" s="19">
        <f>IF($A7="","",IF(G7=0,"No gift yet",IF(AND(C7&lt;&gt;"",E7&gt;C7),"Over budget",IF(AND(C7&lt;&gt;"",D7&gt;C7,J7&lt;G7),"Plan over budget",IF(J7=G7,"All given ✓",IF(H7&lt;G7,"Shopping",IF(I7&lt;G7,"To wrap","Ready to give")))))))</f>
        <v/>
      </c>
    </row>
    <row r="8">
      <c r="A8" s="26" t="inlineStr">
        <is>
          <t>Emma</t>
        </is>
      </c>
      <c r="B8" s="26" t="inlineStr">
        <is>
          <t>Kids</t>
        </is>
      </c>
      <c r="C8" s="24" t="n">
        <v>150</v>
      </c>
      <c r="D8" s="20">
        <f>IF($A8="","",SUMIFS('Gift Tracker'!$D$5:$D$304,'Gift Tracker'!$A$5:$A$304,$A8))</f>
        <v/>
      </c>
      <c r="E8" s="20">
        <f>IF($A8="","",SUMIFS('Gift Tracker'!$D$5:$D$304,'Gift Tracker'!$A$5:$A$304,$A8,'Gift Tracker'!$E$5:$E$304,"Yes"))</f>
        <v/>
      </c>
      <c r="F8" s="20">
        <f>IF(OR($A8="",C8=""),"",C8-E8)</f>
        <v/>
      </c>
      <c r="G8" s="33">
        <f>IF($A8="","",COUNTIF('Gift Tracker'!$A$5:$A$304,$A8))</f>
        <v/>
      </c>
      <c r="H8" s="33">
        <f>IF($A8="","",COUNTIFS('Gift Tracker'!$A$5:$A$304,$A8,'Gift Tracker'!$E$5:$E$304,"Yes"))</f>
        <v/>
      </c>
      <c r="I8" s="33">
        <f>IF($A8="","",COUNTIFS('Gift Tracker'!$A$5:$A$304,$A8,'Gift Tracker'!$F$5:$F$304,"Yes"))</f>
        <v/>
      </c>
      <c r="J8" s="33">
        <f>IF($A8="","",COUNTIFS('Gift Tracker'!$A$5:$A$304,$A8,'Gift Tracker'!$G$5:$G$304,"Yes"))</f>
        <v/>
      </c>
      <c r="K8" s="19">
        <f>IF($A8="","",IF(G8=0,"No gift yet",IF(AND(C8&lt;&gt;"",E8&gt;C8),"Over budget",IF(AND(C8&lt;&gt;"",D8&gt;C8,J8&lt;G8),"Plan over budget",IF(J8=G8,"All given ✓",IF(H8&lt;G8,"Shopping",IF(I8&lt;G8,"To wrap","Ready to give")))))))</f>
        <v/>
      </c>
    </row>
    <row r="9">
      <c r="A9" s="26" t="inlineStr">
        <is>
          <t>Leo</t>
        </is>
      </c>
      <c r="B9" s="26" t="inlineStr">
        <is>
          <t>Kids</t>
        </is>
      </c>
      <c r="C9" s="24" t="n">
        <v>150</v>
      </c>
      <c r="D9" s="20">
        <f>IF($A9="","",SUMIFS('Gift Tracker'!$D$5:$D$304,'Gift Tracker'!$A$5:$A$304,$A9))</f>
        <v/>
      </c>
      <c r="E9" s="20">
        <f>IF($A9="","",SUMIFS('Gift Tracker'!$D$5:$D$304,'Gift Tracker'!$A$5:$A$304,$A9,'Gift Tracker'!$E$5:$E$304,"Yes"))</f>
        <v/>
      </c>
      <c r="F9" s="20">
        <f>IF(OR($A9="",C9=""),"",C9-E9)</f>
        <v/>
      </c>
      <c r="G9" s="33">
        <f>IF($A9="","",COUNTIF('Gift Tracker'!$A$5:$A$304,$A9))</f>
        <v/>
      </c>
      <c r="H9" s="33">
        <f>IF($A9="","",COUNTIFS('Gift Tracker'!$A$5:$A$304,$A9,'Gift Tracker'!$E$5:$E$304,"Yes"))</f>
        <v/>
      </c>
      <c r="I9" s="33">
        <f>IF($A9="","",COUNTIFS('Gift Tracker'!$A$5:$A$304,$A9,'Gift Tracker'!$F$5:$F$304,"Yes"))</f>
        <v/>
      </c>
      <c r="J9" s="33">
        <f>IF($A9="","",COUNTIFS('Gift Tracker'!$A$5:$A$304,$A9,'Gift Tracker'!$G$5:$G$304,"Yes"))</f>
        <v/>
      </c>
      <c r="K9" s="19">
        <f>IF($A9="","",IF(G9=0,"No gift yet",IF(AND(C9&lt;&gt;"",E9&gt;C9),"Over budget",IF(AND(C9&lt;&gt;"",D9&gt;C9,J9&lt;G9),"Plan over budget",IF(J9=G9,"All given ✓",IF(H9&lt;G9,"Shopping",IF(I9&lt;G9,"To wrap","Ready to give")))))))</f>
        <v/>
      </c>
    </row>
    <row r="10">
      <c r="A10" s="26" t="inlineStr">
        <is>
          <t>Grandma Jo</t>
        </is>
      </c>
      <c r="B10" s="26" t="inlineStr">
        <is>
          <t>Family</t>
        </is>
      </c>
      <c r="C10" s="24" t="n">
        <v>60</v>
      </c>
      <c r="D10" s="20">
        <f>IF($A10="","",SUMIFS('Gift Tracker'!$D$5:$D$304,'Gift Tracker'!$A$5:$A$304,$A10))</f>
        <v/>
      </c>
      <c r="E10" s="20">
        <f>IF($A10="","",SUMIFS('Gift Tracker'!$D$5:$D$304,'Gift Tracker'!$A$5:$A$304,$A10,'Gift Tracker'!$E$5:$E$304,"Yes"))</f>
        <v/>
      </c>
      <c r="F10" s="20">
        <f>IF(OR($A10="",C10=""),"",C10-E10)</f>
        <v/>
      </c>
      <c r="G10" s="33">
        <f>IF($A10="","",COUNTIF('Gift Tracker'!$A$5:$A$304,$A10))</f>
        <v/>
      </c>
      <c r="H10" s="33">
        <f>IF($A10="","",COUNTIFS('Gift Tracker'!$A$5:$A$304,$A10,'Gift Tracker'!$E$5:$E$304,"Yes"))</f>
        <v/>
      </c>
      <c r="I10" s="33">
        <f>IF($A10="","",COUNTIFS('Gift Tracker'!$A$5:$A$304,$A10,'Gift Tracker'!$F$5:$F$304,"Yes"))</f>
        <v/>
      </c>
      <c r="J10" s="33">
        <f>IF($A10="","",COUNTIFS('Gift Tracker'!$A$5:$A$304,$A10,'Gift Tracker'!$G$5:$G$304,"Yes"))</f>
        <v/>
      </c>
      <c r="K10" s="19">
        <f>IF($A10="","",IF(G10=0,"No gift yet",IF(AND(C10&lt;&gt;"",E10&gt;C10),"Over budget",IF(AND(C10&lt;&gt;"",D10&gt;C10,J10&lt;G10),"Plan over budget",IF(J10=G10,"All given ✓",IF(H10&lt;G10,"Shopping",IF(I10&lt;G10,"To wrap","Ready to give")))))))</f>
        <v/>
      </c>
    </row>
    <row r="11">
      <c r="A11" s="26" t="inlineStr">
        <is>
          <t>Aunt Sara</t>
        </is>
      </c>
      <c r="B11" s="26" t="inlineStr">
        <is>
          <t>Family</t>
        </is>
      </c>
      <c r="C11" s="24" t="n">
        <v>40</v>
      </c>
      <c r="D11" s="20">
        <f>IF($A11="","",SUMIFS('Gift Tracker'!$D$5:$D$304,'Gift Tracker'!$A$5:$A$304,$A11))</f>
        <v/>
      </c>
      <c r="E11" s="20">
        <f>IF($A11="","",SUMIFS('Gift Tracker'!$D$5:$D$304,'Gift Tracker'!$A$5:$A$304,$A11,'Gift Tracker'!$E$5:$E$304,"Yes"))</f>
        <v/>
      </c>
      <c r="F11" s="20">
        <f>IF(OR($A11="",C11=""),"",C11-E11)</f>
        <v/>
      </c>
      <c r="G11" s="33">
        <f>IF($A11="","",COUNTIF('Gift Tracker'!$A$5:$A$304,$A11))</f>
        <v/>
      </c>
      <c r="H11" s="33">
        <f>IF($A11="","",COUNTIFS('Gift Tracker'!$A$5:$A$304,$A11,'Gift Tracker'!$E$5:$E$304,"Yes"))</f>
        <v/>
      </c>
      <c r="I11" s="33">
        <f>IF($A11="","",COUNTIFS('Gift Tracker'!$A$5:$A$304,$A11,'Gift Tracker'!$F$5:$F$304,"Yes"))</f>
        <v/>
      </c>
      <c r="J11" s="33">
        <f>IF($A11="","",COUNTIFS('Gift Tracker'!$A$5:$A$304,$A11,'Gift Tracker'!$G$5:$G$304,"Yes"))</f>
        <v/>
      </c>
      <c r="K11" s="19">
        <f>IF($A11="","",IF(G11=0,"No gift yet",IF(AND(C11&lt;&gt;"",E11&gt;C11),"Over budget",IF(AND(C11&lt;&gt;"",D11&gt;C11,J11&lt;G11),"Plan over budget",IF(J11=G11,"All given ✓",IF(H11&lt;G11,"Shopping",IF(I11&lt;G11,"To wrap","Ready to give")))))))</f>
        <v/>
      </c>
    </row>
    <row r="12">
      <c r="A12" s="26" t="inlineStr">
        <is>
          <t>Sam (Secret Santa)</t>
        </is>
      </c>
      <c r="B12" s="26" t="inlineStr">
        <is>
          <t>Work</t>
        </is>
      </c>
      <c r="C12" s="24" t="n">
        <v>25</v>
      </c>
      <c r="D12" s="20">
        <f>IF($A12="","",SUMIFS('Gift Tracker'!$D$5:$D$304,'Gift Tracker'!$A$5:$A$304,$A12))</f>
        <v/>
      </c>
      <c r="E12" s="20">
        <f>IF($A12="","",SUMIFS('Gift Tracker'!$D$5:$D$304,'Gift Tracker'!$A$5:$A$304,$A12,'Gift Tracker'!$E$5:$E$304,"Yes"))</f>
        <v/>
      </c>
      <c r="F12" s="20">
        <f>IF(OR($A12="",C12=""),"",C12-E12)</f>
        <v/>
      </c>
      <c r="G12" s="33">
        <f>IF($A12="","",COUNTIF('Gift Tracker'!$A$5:$A$304,$A12))</f>
        <v/>
      </c>
      <c r="H12" s="33">
        <f>IF($A12="","",COUNTIFS('Gift Tracker'!$A$5:$A$304,$A12,'Gift Tracker'!$E$5:$E$304,"Yes"))</f>
        <v/>
      </c>
      <c r="I12" s="33">
        <f>IF($A12="","",COUNTIFS('Gift Tracker'!$A$5:$A$304,$A12,'Gift Tracker'!$F$5:$F$304,"Yes"))</f>
        <v/>
      </c>
      <c r="J12" s="33">
        <f>IF($A12="","",COUNTIFS('Gift Tracker'!$A$5:$A$304,$A12,'Gift Tracker'!$G$5:$G$304,"Yes"))</f>
        <v/>
      </c>
      <c r="K12" s="19">
        <f>IF($A12="","",IF(G12=0,"No gift yet",IF(AND(C12&lt;&gt;"",E12&gt;C12),"Over budget",IF(AND(C12&lt;&gt;"",D12&gt;C12,J12&lt;G12),"Plan over budget",IF(J12=G12,"All given ✓",IF(H12&lt;G12,"Shopping",IF(I12&lt;G12,"To wrap","Ready to give")))))))</f>
        <v/>
      </c>
    </row>
    <row r="13">
      <c r="A13" s="26" t="inlineStr">
        <is>
          <t>Ms. Rivera (teacher)</t>
        </is>
      </c>
      <c r="B13" s="26" t="inlineStr">
        <is>
          <t>School</t>
        </is>
      </c>
      <c r="C13" s="24" t="n">
        <v>20</v>
      </c>
      <c r="D13" s="20">
        <f>IF($A13="","",SUMIFS('Gift Tracker'!$D$5:$D$304,'Gift Tracker'!$A$5:$A$304,$A13))</f>
        <v/>
      </c>
      <c r="E13" s="20">
        <f>IF($A13="","",SUMIFS('Gift Tracker'!$D$5:$D$304,'Gift Tracker'!$A$5:$A$304,$A13,'Gift Tracker'!$E$5:$E$304,"Yes"))</f>
        <v/>
      </c>
      <c r="F13" s="20">
        <f>IF(OR($A13="",C13=""),"",C13-E13)</f>
        <v/>
      </c>
      <c r="G13" s="33">
        <f>IF($A13="","",COUNTIF('Gift Tracker'!$A$5:$A$304,$A13))</f>
        <v/>
      </c>
      <c r="H13" s="33">
        <f>IF($A13="","",COUNTIFS('Gift Tracker'!$A$5:$A$304,$A13,'Gift Tracker'!$E$5:$E$304,"Yes"))</f>
        <v/>
      </c>
      <c r="I13" s="33">
        <f>IF($A13="","",COUNTIFS('Gift Tracker'!$A$5:$A$304,$A13,'Gift Tracker'!$F$5:$F$304,"Yes"))</f>
        <v/>
      </c>
      <c r="J13" s="33">
        <f>IF($A13="","",COUNTIFS('Gift Tracker'!$A$5:$A$304,$A13,'Gift Tracker'!$G$5:$G$304,"Yes"))</f>
        <v/>
      </c>
      <c r="K13" s="19">
        <f>IF($A13="","",IF(G13=0,"No gift yet",IF(AND(C13&lt;&gt;"",E13&gt;C13),"Over budget",IF(AND(C13&lt;&gt;"",D13&gt;C13,J13&lt;G13),"Plan over budget",IF(J13=G13,"All given ✓",IF(H13&lt;G13,"Shopping",IF(I13&lt;G13,"To wrap","Ready to give")))))))</f>
        <v/>
      </c>
    </row>
    <row r="14">
      <c r="A14" s="26" t="inlineStr">
        <is>
          <t>Neighbors</t>
        </is>
      </c>
      <c r="B14" s="26" t="inlineStr">
        <is>
          <t>Neighbors</t>
        </is>
      </c>
      <c r="C14" s="24" t="n">
        <v>30</v>
      </c>
      <c r="D14" s="20">
        <f>IF($A14="","",SUMIFS('Gift Tracker'!$D$5:$D$304,'Gift Tracker'!$A$5:$A$304,$A14))</f>
        <v/>
      </c>
      <c r="E14" s="20">
        <f>IF($A14="","",SUMIFS('Gift Tracker'!$D$5:$D$304,'Gift Tracker'!$A$5:$A$304,$A14,'Gift Tracker'!$E$5:$E$304,"Yes"))</f>
        <v/>
      </c>
      <c r="F14" s="20">
        <f>IF(OR($A14="",C14=""),"",C14-E14)</f>
        <v/>
      </c>
      <c r="G14" s="33">
        <f>IF($A14="","",COUNTIF('Gift Tracker'!$A$5:$A$304,$A14))</f>
        <v/>
      </c>
      <c r="H14" s="33">
        <f>IF($A14="","",COUNTIFS('Gift Tracker'!$A$5:$A$304,$A14,'Gift Tracker'!$E$5:$E$304,"Yes"))</f>
        <v/>
      </c>
      <c r="I14" s="33">
        <f>IF($A14="","",COUNTIFS('Gift Tracker'!$A$5:$A$304,$A14,'Gift Tracker'!$F$5:$F$304,"Yes"))</f>
        <v/>
      </c>
      <c r="J14" s="33">
        <f>IF($A14="","",COUNTIFS('Gift Tracker'!$A$5:$A$304,$A14,'Gift Tracker'!$G$5:$G$304,"Yes"))</f>
        <v/>
      </c>
      <c r="K14" s="19">
        <f>IF($A14="","",IF(G14=0,"No gift yet",IF(AND(C14&lt;&gt;"",E14&gt;C14),"Over budget",IF(AND(C14&lt;&gt;"",D14&gt;C14,J14&lt;G14),"Plan over budget",IF(J14=G14,"All given ✓",IF(H14&lt;G14,"Shopping",IF(I14&lt;G14,"To wrap","Ready to give")))))))</f>
        <v/>
      </c>
    </row>
    <row r="15">
      <c r="A15" s="26" t="inlineStr">
        <is>
          <t>Best friend Kim</t>
        </is>
      </c>
      <c r="B15" s="26" t="inlineStr">
        <is>
          <t>Friends</t>
        </is>
      </c>
      <c r="C15" s="24" t="n">
        <v>50</v>
      </c>
      <c r="D15" s="20">
        <f>IF($A15="","",SUMIFS('Gift Tracker'!$D$5:$D$304,'Gift Tracker'!$A$5:$A$304,$A15))</f>
        <v/>
      </c>
      <c r="E15" s="20">
        <f>IF($A15="","",SUMIFS('Gift Tracker'!$D$5:$D$304,'Gift Tracker'!$A$5:$A$304,$A15,'Gift Tracker'!$E$5:$E$304,"Yes"))</f>
        <v/>
      </c>
      <c r="F15" s="20">
        <f>IF(OR($A15="",C15=""),"",C15-E15)</f>
        <v/>
      </c>
      <c r="G15" s="33">
        <f>IF($A15="","",COUNTIF('Gift Tracker'!$A$5:$A$304,$A15))</f>
        <v/>
      </c>
      <c r="H15" s="33">
        <f>IF($A15="","",COUNTIFS('Gift Tracker'!$A$5:$A$304,$A15,'Gift Tracker'!$E$5:$E$304,"Yes"))</f>
        <v/>
      </c>
      <c r="I15" s="33">
        <f>IF($A15="","",COUNTIFS('Gift Tracker'!$A$5:$A$304,$A15,'Gift Tracker'!$F$5:$F$304,"Yes"))</f>
        <v/>
      </c>
      <c r="J15" s="33">
        <f>IF($A15="","",COUNTIFS('Gift Tracker'!$A$5:$A$304,$A15,'Gift Tracker'!$G$5:$G$304,"Yes"))</f>
        <v/>
      </c>
      <c r="K15" s="19">
        <f>IF($A15="","",IF(G15=0,"No gift yet",IF(AND(C15&lt;&gt;"",E15&gt;C15),"Over budget",IF(AND(C15&lt;&gt;"",D15&gt;C15,J15&lt;G15),"Plan over budget",IF(J15=G15,"All given ✓",IF(H15&lt;G15,"Shopping",IF(I15&lt;G15,"To wrap","Ready to give")))))))</f>
        <v/>
      </c>
    </row>
    <row r="16">
      <c r="A16" s="26" t="n"/>
      <c r="B16" s="26" t="n"/>
      <c r="C16" s="24" t="n"/>
      <c r="D16" s="20">
        <f>IF($A16="","",SUMIFS('Gift Tracker'!$D$5:$D$304,'Gift Tracker'!$A$5:$A$304,$A16))</f>
        <v/>
      </c>
      <c r="E16" s="20">
        <f>IF($A16="","",SUMIFS('Gift Tracker'!$D$5:$D$304,'Gift Tracker'!$A$5:$A$304,$A16,'Gift Tracker'!$E$5:$E$304,"Yes"))</f>
        <v/>
      </c>
      <c r="F16" s="20">
        <f>IF(OR($A16="",C16=""),"",C16-E16)</f>
        <v/>
      </c>
      <c r="G16" s="33">
        <f>IF($A16="","",COUNTIF('Gift Tracker'!$A$5:$A$304,$A16))</f>
        <v/>
      </c>
      <c r="H16" s="33">
        <f>IF($A16="","",COUNTIFS('Gift Tracker'!$A$5:$A$304,$A16,'Gift Tracker'!$E$5:$E$304,"Yes"))</f>
        <v/>
      </c>
      <c r="I16" s="33">
        <f>IF($A16="","",COUNTIFS('Gift Tracker'!$A$5:$A$304,$A16,'Gift Tracker'!$F$5:$F$304,"Yes"))</f>
        <v/>
      </c>
      <c r="J16" s="33">
        <f>IF($A16="","",COUNTIFS('Gift Tracker'!$A$5:$A$304,$A16,'Gift Tracker'!$G$5:$G$304,"Yes"))</f>
        <v/>
      </c>
      <c r="K16" s="19">
        <f>IF($A16="","",IF(G16=0,"No gift yet",IF(AND(C16&lt;&gt;"",E16&gt;C16),"Over budget",IF(AND(C16&lt;&gt;"",D16&gt;C16,J16&lt;G16),"Plan over budget",IF(J16=G16,"All given ✓",IF(H16&lt;G16,"Shopping",IF(I16&lt;G16,"To wrap","Ready to give")))))))</f>
        <v/>
      </c>
    </row>
    <row r="17">
      <c r="A17" s="26" t="n"/>
      <c r="B17" s="26" t="n"/>
      <c r="C17" s="24" t="n"/>
      <c r="D17" s="20">
        <f>IF($A17="","",SUMIFS('Gift Tracker'!$D$5:$D$304,'Gift Tracker'!$A$5:$A$304,$A17))</f>
        <v/>
      </c>
      <c r="E17" s="20">
        <f>IF($A17="","",SUMIFS('Gift Tracker'!$D$5:$D$304,'Gift Tracker'!$A$5:$A$304,$A17,'Gift Tracker'!$E$5:$E$304,"Yes"))</f>
        <v/>
      </c>
      <c r="F17" s="20">
        <f>IF(OR($A17="",C17=""),"",C17-E17)</f>
        <v/>
      </c>
      <c r="G17" s="33">
        <f>IF($A17="","",COUNTIF('Gift Tracker'!$A$5:$A$304,$A17))</f>
        <v/>
      </c>
      <c r="H17" s="33">
        <f>IF($A17="","",COUNTIFS('Gift Tracker'!$A$5:$A$304,$A17,'Gift Tracker'!$E$5:$E$304,"Yes"))</f>
        <v/>
      </c>
      <c r="I17" s="33">
        <f>IF($A17="","",COUNTIFS('Gift Tracker'!$A$5:$A$304,$A17,'Gift Tracker'!$F$5:$F$304,"Yes"))</f>
        <v/>
      </c>
      <c r="J17" s="33">
        <f>IF($A17="","",COUNTIFS('Gift Tracker'!$A$5:$A$304,$A17,'Gift Tracker'!$G$5:$G$304,"Yes"))</f>
        <v/>
      </c>
      <c r="K17" s="19">
        <f>IF($A17="","",IF(G17=0,"No gift yet",IF(AND(C17&lt;&gt;"",E17&gt;C17),"Over budget",IF(AND(C17&lt;&gt;"",D17&gt;C17,J17&lt;G17),"Plan over budget",IF(J17=G17,"All given ✓",IF(H17&lt;G17,"Shopping",IF(I17&lt;G17,"To wrap","Ready to give")))))))</f>
        <v/>
      </c>
    </row>
    <row r="18">
      <c r="A18" s="26" t="n"/>
      <c r="B18" s="26" t="n"/>
      <c r="C18" s="24" t="n"/>
      <c r="D18" s="20">
        <f>IF($A18="","",SUMIFS('Gift Tracker'!$D$5:$D$304,'Gift Tracker'!$A$5:$A$304,$A18))</f>
        <v/>
      </c>
      <c r="E18" s="20">
        <f>IF($A18="","",SUMIFS('Gift Tracker'!$D$5:$D$304,'Gift Tracker'!$A$5:$A$304,$A18,'Gift Tracker'!$E$5:$E$304,"Yes"))</f>
        <v/>
      </c>
      <c r="F18" s="20">
        <f>IF(OR($A18="",C18=""),"",C18-E18)</f>
        <v/>
      </c>
      <c r="G18" s="33">
        <f>IF($A18="","",COUNTIF('Gift Tracker'!$A$5:$A$304,$A18))</f>
        <v/>
      </c>
      <c r="H18" s="33">
        <f>IF($A18="","",COUNTIFS('Gift Tracker'!$A$5:$A$304,$A18,'Gift Tracker'!$E$5:$E$304,"Yes"))</f>
        <v/>
      </c>
      <c r="I18" s="33">
        <f>IF($A18="","",COUNTIFS('Gift Tracker'!$A$5:$A$304,$A18,'Gift Tracker'!$F$5:$F$304,"Yes"))</f>
        <v/>
      </c>
      <c r="J18" s="33">
        <f>IF($A18="","",COUNTIFS('Gift Tracker'!$A$5:$A$304,$A18,'Gift Tracker'!$G$5:$G$304,"Yes"))</f>
        <v/>
      </c>
      <c r="K18" s="19">
        <f>IF($A18="","",IF(G18=0,"No gift yet",IF(AND(C18&lt;&gt;"",E18&gt;C18),"Over budget",IF(AND(C18&lt;&gt;"",D18&gt;C18,J18&lt;G18),"Plan over budget",IF(J18=G18,"All given ✓",IF(H18&lt;G18,"Shopping",IF(I18&lt;G18,"To wrap","Ready to give")))))))</f>
        <v/>
      </c>
    </row>
    <row r="19">
      <c r="A19" s="26" t="n"/>
      <c r="B19" s="26" t="n"/>
      <c r="C19" s="24" t="n"/>
      <c r="D19" s="20">
        <f>IF($A19="","",SUMIFS('Gift Tracker'!$D$5:$D$304,'Gift Tracker'!$A$5:$A$304,$A19))</f>
        <v/>
      </c>
      <c r="E19" s="20">
        <f>IF($A19="","",SUMIFS('Gift Tracker'!$D$5:$D$304,'Gift Tracker'!$A$5:$A$304,$A19,'Gift Tracker'!$E$5:$E$304,"Yes"))</f>
        <v/>
      </c>
      <c r="F19" s="20">
        <f>IF(OR($A19="",C19=""),"",C19-E19)</f>
        <v/>
      </c>
      <c r="G19" s="33">
        <f>IF($A19="","",COUNTIF('Gift Tracker'!$A$5:$A$304,$A19))</f>
        <v/>
      </c>
      <c r="H19" s="33">
        <f>IF($A19="","",COUNTIFS('Gift Tracker'!$A$5:$A$304,$A19,'Gift Tracker'!$E$5:$E$304,"Yes"))</f>
        <v/>
      </c>
      <c r="I19" s="33">
        <f>IF($A19="","",COUNTIFS('Gift Tracker'!$A$5:$A$304,$A19,'Gift Tracker'!$F$5:$F$304,"Yes"))</f>
        <v/>
      </c>
      <c r="J19" s="33">
        <f>IF($A19="","",COUNTIFS('Gift Tracker'!$A$5:$A$304,$A19,'Gift Tracker'!$G$5:$G$304,"Yes"))</f>
        <v/>
      </c>
      <c r="K19" s="19">
        <f>IF($A19="","",IF(G19=0,"No gift yet",IF(AND(C19&lt;&gt;"",E19&gt;C19),"Over budget",IF(AND(C19&lt;&gt;"",D19&gt;C19,J19&lt;G19),"Plan over budget",IF(J19=G19,"All given ✓",IF(H19&lt;G19,"Shopping",IF(I19&lt;G19,"To wrap","Ready to give")))))))</f>
        <v/>
      </c>
    </row>
    <row r="20">
      <c r="A20" s="26" t="n"/>
      <c r="B20" s="26" t="n"/>
      <c r="C20" s="24" t="n"/>
      <c r="D20" s="20">
        <f>IF($A20="","",SUMIFS('Gift Tracker'!$D$5:$D$304,'Gift Tracker'!$A$5:$A$304,$A20))</f>
        <v/>
      </c>
      <c r="E20" s="20">
        <f>IF($A20="","",SUMIFS('Gift Tracker'!$D$5:$D$304,'Gift Tracker'!$A$5:$A$304,$A20,'Gift Tracker'!$E$5:$E$304,"Yes"))</f>
        <v/>
      </c>
      <c r="F20" s="20">
        <f>IF(OR($A20="",C20=""),"",C20-E20)</f>
        <v/>
      </c>
      <c r="G20" s="33">
        <f>IF($A20="","",COUNTIF('Gift Tracker'!$A$5:$A$304,$A20))</f>
        <v/>
      </c>
      <c r="H20" s="33">
        <f>IF($A20="","",COUNTIFS('Gift Tracker'!$A$5:$A$304,$A20,'Gift Tracker'!$E$5:$E$304,"Yes"))</f>
        <v/>
      </c>
      <c r="I20" s="33">
        <f>IF($A20="","",COUNTIFS('Gift Tracker'!$A$5:$A$304,$A20,'Gift Tracker'!$F$5:$F$304,"Yes"))</f>
        <v/>
      </c>
      <c r="J20" s="33">
        <f>IF($A20="","",COUNTIFS('Gift Tracker'!$A$5:$A$304,$A20,'Gift Tracker'!$G$5:$G$304,"Yes"))</f>
        <v/>
      </c>
      <c r="K20" s="19">
        <f>IF($A20="","",IF(G20=0,"No gift yet",IF(AND(C20&lt;&gt;"",E20&gt;C20),"Over budget",IF(AND(C20&lt;&gt;"",D20&gt;C20,J20&lt;G20),"Plan over budget",IF(J20=G20,"All given ✓",IF(H20&lt;G20,"Shopping",IF(I20&lt;G20,"To wrap","Ready to give")))))))</f>
        <v/>
      </c>
    </row>
    <row r="21">
      <c r="A21" s="26" t="n"/>
      <c r="B21" s="26" t="n"/>
      <c r="C21" s="24" t="n"/>
      <c r="D21" s="20">
        <f>IF($A21="","",SUMIFS('Gift Tracker'!$D$5:$D$304,'Gift Tracker'!$A$5:$A$304,$A21))</f>
        <v/>
      </c>
      <c r="E21" s="20">
        <f>IF($A21="","",SUMIFS('Gift Tracker'!$D$5:$D$304,'Gift Tracker'!$A$5:$A$304,$A21,'Gift Tracker'!$E$5:$E$304,"Yes"))</f>
        <v/>
      </c>
      <c r="F21" s="20">
        <f>IF(OR($A21="",C21=""),"",C21-E21)</f>
        <v/>
      </c>
      <c r="G21" s="33">
        <f>IF($A21="","",COUNTIF('Gift Tracker'!$A$5:$A$304,$A21))</f>
        <v/>
      </c>
      <c r="H21" s="33">
        <f>IF($A21="","",COUNTIFS('Gift Tracker'!$A$5:$A$304,$A21,'Gift Tracker'!$E$5:$E$304,"Yes"))</f>
        <v/>
      </c>
      <c r="I21" s="33">
        <f>IF($A21="","",COUNTIFS('Gift Tracker'!$A$5:$A$304,$A21,'Gift Tracker'!$F$5:$F$304,"Yes"))</f>
        <v/>
      </c>
      <c r="J21" s="33">
        <f>IF($A21="","",COUNTIFS('Gift Tracker'!$A$5:$A$304,$A21,'Gift Tracker'!$G$5:$G$304,"Yes"))</f>
        <v/>
      </c>
      <c r="K21" s="19">
        <f>IF($A21="","",IF(G21=0,"No gift yet",IF(AND(C21&lt;&gt;"",E21&gt;C21),"Over budget",IF(AND(C21&lt;&gt;"",D21&gt;C21,J21&lt;G21),"Plan over budget",IF(J21=G21,"All given ✓",IF(H21&lt;G21,"Shopping",IF(I21&lt;G21,"To wrap","Ready to give")))))))</f>
        <v/>
      </c>
    </row>
    <row r="22">
      <c r="A22" s="26" t="n"/>
      <c r="B22" s="26" t="n"/>
      <c r="C22" s="24" t="n"/>
      <c r="D22" s="20">
        <f>IF($A22="","",SUMIFS('Gift Tracker'!$D$5:$D$304,'Gift Tracker'!$A$5:$A$304,$A22))</f>
        <v/>
      </c>
      <c r="E22" s="20">
        <f>IF($A22="","",SUMIFS('Gift Tracker'!$D$5:$D$304,'Gift Tracker'!$A$5:$A$304,$A22,'Gift Tracker'!$E$5:$E$304,"Yes"))</f>
        <v/>
      </c>
      <c r="F22" s="20">
        <f>IF(OR($A22="",C22=""),"",C22-E22)</f>
        <v/>
      </c>
      <c r="G22" s="33">
        <f>IF($A22="","",COUNTIF('Gift Tracker'!$A$5:$A$304,$A22))</f>
        <v/>
      </c>
      <c r="H22" s="33">
        <f>IF($A22="","",COUNTIFS('Gift Tracker'!$A$5:$A$304,$A22,'Gift Tracker'!$E$5:$E$304,"Yes"))</f>
        <v/>
      </c>
      <c r="I22" s="33">
        <f>IF($A22="","",COUNTIFS('Gift Tracker'!$A$5:$A$304,$A22,'Gift Tracker'!$F$5:$F$304,"Yes"))</f>
        <v/>
      </c>
      <c r="J22" s="33">
        <f>IF($A22="","",COUNTIFS('Gift Tracker'!$A$5:$A$304,$A22,'Gift Tracker'!$G$5:$G$304,"Yes"))</f>
        <v/>
      </c>
      <c r="K22" s="19">
        <f>IF($A22="","",IF(G22=0,"No gift yet",IF(AND(C22&lt;&gt;"",E22&gt;C22),"Over budget",IF(AND(C22&lt;&gt;"",D22&gt;C22,J22&lt;G22),"Plan over budget",IF(J22=G22,"All given ✓",IF(H22&lt;G22,"Shopping",IF(I22&lt;G22,"To wrap","Ready to give")))))))</f>
        <v/>
      </c>
    </row>
    <row r="23">
      <c r="A23" s="26" t="n"/>
      <c r="B23" s="26" t="n"/>
      <c r="C23" s="24" t="n"/>
      <c r="D23" s="20">
        <f>IF($A23="","",SUMIFS('Gift Tracker'!$D$5:$D$304,'Gift Tracker'!$A$5:$A$304,$A23))</f>
        <v/>
      </c>
      <c r="E23" s="20">
        <f>IF($A23="","",SUMIFS('Gift Tracker'!$D$5:$D$304,'Gift Tracker'!$A$5:$A$304,$A23,'Gift Tracker'!$E$5:$E$304,"Yes"))</f>
        <v/>
      </c>
      <c r="F23" s="20">
        <f>IF(OR($A23="",C23=""),"",C23-E23)</f>
        <v/>
      </c>
      <c r="G23" s="33">
        <f>IF($A23="","",COUNTIF('Gift Tracker'!$A$5:$A$304,$A23))</f>
        <v/>
      </c>
      <c r="H23" s="33">
        <f>IF($A23="","",COUNTIFS('Gift Tracker'!$A$5:$A$304,$A23,'Gift Tracker'!$E$5:$E$304,"Yes"))</f>
        <v/>
      </c>
      <c r="I23" s="33">
        <f>IF($A23="","",COUNTIFS('Gift Tracker'!$A$5:$A$304,$A23,'Gift Tracker'!$F$5:$F$304,"Yes"))</f>
        <v/>
      </c>
      <c r="J23" s="33">
        <f>IF($A23="","",COUNTIFS('Gift Tracker'!$A$5:$A$304,$A23,'Gift Tracker'!$G$5:$G$304,"Yes"))</f>
        <v/>
      </c>
      <c r="K23" s="19">
        <f>IF($A23="","",IF(G23=0,"No gift yet",IF(AND(C23&lt;&gt;"",E23&gt;C23),"Over budget",IF(AND(C23&lt;&gt;"",D23&gt;C23,J23&lt;G23),"Plan over budget",IF(J23=G23,"All given ✓",IF(H23&lt;G23,"Shopping",IF(I23&lt;G23,"To wrap","Ready to give")))))))</f>
        <v/>
      </c>
    </row>
    <row r="24">
      <c r="A24" s="26" t="n"/>
      <c r="B24" s="26" t="n"/>
      <c r="C24" s="24" t="n"/>
      <c r="D24" s="20">
        <f>IF($A24="","",SUMIFS('Gift Tracker'!$D$5:$D$304,'Gift Tracker'!$A$5:$A$304,$A24))</f>
        <v/>
      </c>
      <c r="E24" s="20">
        <f>IF($A24="","",SUMIFS('Gift Tracker'!$D$5:$D$304,'Gift Tracker'!$A$5:$A$304,$A24,'Gift Tracker'!$E$5:$E$304,"Yes"))</f>
        <v/>
      </c>
      <c r="F24" s="20">
        <f>IF(OR($A24="",C24=""),"",C24-E24)</f>
        <v/>
      </c>
      <c r="G24" s="33">
        <f>IF($A24="","",COUNTIF('Gift Tracker'!$A$5:$A$304,$A24))</f>
        <v/>
      </c>
      <c r="H24" s="33">
        <f>IF($A24="","",COUNTIFS('Gift Tracker'!$A$5:$A$304,$A24,'Gift Tracker'!$E$5:$E$304,"Yes"))</f>
        <v/>
      </c>
      <c r="I24" s="33">
        <f>IF($A24="","",COUNTIFS('Gift Tracker'!$A$5:$A$304,$A24,'Gift Tracker'!$F$5:$F$304,"Yes"))</f>
        <v/>
      </c>
      <c r="J24" s="33">
        <f>IF($A24="","",COUNTIFS('Gift Tracker'!$A$5:$A$304,$A24,'Gift Tracker'!$G$5:$G$304,"Yes"))</f>
        <v/>
      </c>
      <c r="K24" s="19">
        <f>IF($A24="","",IF(G24=0,"No gift yet",IF(AND(C24&lt;&gt;"",E24&gt;C24),"Over budget",IF(AND(C24&lt;&gt;"",D24&gt;C24,J24&lt;G24),"Plan over budget",IF(J24=G24,"All given ✓",IF(H24&lt;G24,"Shopping",IF(I24&lt;G24,"To wrap","Ready to give")))))))</f>
        <v/>
      </c>
    </row>
    <row r="25">
      <c r="A25" s="26" t="n"/>
      <c r="B25" s="26" t="n"/>
      <c r="C25" s="24" t="n"/>
      <c r="D25" s="20">
        <f>IF($A25="","",SUMIFS('Gift Tracker'!$D$5:$D$304,'Gift Tracker'!$A$5:$A$304,$A25))</f>
        <v/>
      </c>
      <c r="E25" s="20">
        <f>IF($A25="","",SUMIFS('Gift Tracker'!$D$5:$D$304,'Gift Tracker'!$A$5:$A$304,$A25,'Gift Tracker'!$E$5:$E$304,"Yes"))</f>
        <v/>
      </c>
      <c r="F25" s="20">
        <f>IF(OR($A25="",C25=""),"",C25-E25)</f>
        <v/>
      </c>
      <c r="G25" s="33">
        <f>IF($A25="","",COUNTIF('Gift Tracker'!$A$5:$A$304,$A25))</f>
        <v/>
      </c>
      <c r="H25" s="33">
        <f>IF($A25="","",COUNTIFS('Gift Tracker'!$A$5:$A$304,$A25,'Gift Tracker'!$E$5:$E$304,"Yes"))</f>
        <v/>
      </c>
      <c r="I25" s="33">
        <f>IF($A25="","",COUNTIFS('Gift Tracker'!$A$5:$A$304,$A25,'Gift Tracker'!$F$5:$F$304,"Yes"))</f>
        <v/>
      </c>
      <c r="J25" s="33">
        <f>IF($A25="","",COUNTIFS('Gift Tracker'!$A$5:$A$304,$A25,'Gift Tracker'!$G$5:$G$304,"Yes"))</f>
        <v/>
      </c>
      <c r="K25" s="19">
        <f>IF($A25="","",IF(G25=0,"No gift yet",IF(AND(C25&lt;&gt;"",E25&gt;C25),"Over budget",IF(AND(C25&lt;&gt;"",D25&gt;C25,J25&lt;G25),"Plan over budget",IF(J25=G25,"All given ✓",IF(H25&lt;G25,"Shopping",IF(I25&lt;G25,"To wrap","Ready to give")))))))</f>
        <v/>
      </c>
    </row>
    <row r="26">
      <c r="A26" s="26" t="n"/>
      <c r="B26" s="26" t="n"/>
      <c r="C26" s="24" t="n"/>
      <c r="D26" s="20">
        <f>IF($A26="","",SUMIFS('Gift Tracker'!$D$5:$D$304,'Gift Tracker'!$A$5:$A$304,$A26))</f>
        <v/>
      </c>
      <c r="E26" s="20">
        <f>IF($A26="","",SUMIFS('Gift Tracker'!$D$5:$D$304,'Gift Tracker'!$A$5:$A$304,$A26,'Gift Tracker'!$E$5:$E$304,"Yes"))</f>
        <v/>
      </c>
      <c r="F26" s="20">
        <f>IF(OR($A26="",C26=""),"",C26-E26)</f>
        <v/>
      </c>
      <c r="G26" s="33">
        <f>IF($A26="","",COUNTIF('Gift Tracker'!$A$5:$A$304,$A26))</f>
        <v/>
      </c>
      <c r="H26" s="33">
        <f>IF($A26="","",COUNTIFS('Gift Tracker'!$A$5:$A$304,$A26,'Gift Tracker'!$E$5:$E$304,"Yes"))</f>
        <v/>
      </c>
      <c r="I26" s="33">
        <f>IF($A26="","",COUNTIFS('Gift Tracker'!$A$5:$A$304,$A26,'Gift Tracker'!$F$5:$F$304,"Yes"))</f>
        <v/>
      </c>
      <c r="J26" s="33">
        <f>IF($A26="","",COUNTIFS('Gift Tracker'!$A$5:$A$304,$A26,'Gift Tracker'!$G$5:$G$304,"Yes"))</f>
        <v/>
      </c>
      <c r="K26" s="19">
        <f>IF($A26="","",IF(G26=0,"No gift yet",IF(AND(C26&lt;&gt;"",E26&gt;C26),"Over budget",IF(AND(C26&lt;&gt;"",D26&gt;C26,J26&lt;G26),"Plan over budget",IF(J26=G26,"All given ✓",IF(H26&lt;G26,"Shopping",IF(I26&lt;G26,"To wrap","Ready to give")))))))</f>
        <v/>
      </c>
    </row>
    <row r="27">
      <c r="A27" s="26" t="n"/>
      <c r="B27" s="26" t="n"/>
      <c r="C27" s="24" t="n"/>
      <c r="D27" s="20">
        <f>IF($A27="","",SUMIFS('Gift Tracker'!$D$5:$D$304,'Gift Tracker'!$A$5:$A$304,$A27))</f>
        <v/>
      </c>
      <c r="E27" s="20">
        <f>IF($A27="","",SUMIFS('Gift Tracker'!$D$5:$D$304,'Gift Tracker'!$A$5:$A$304,$A27,'Gift Tracker'!$E$5:$E$304,"Yes"))</f>
        <v/>
      </c>
      <c r="F27" s="20">
        <f>IF(OR($A27="",C27=""),"",C27-E27)</f>
        <v/>
      </c>
      <c r="G27" s="33">
        <f>IF($A27="","",COUNTIF('Gift Tracker'!$A$5:$A$304,$A27))</f>
        <v/>
      </c>
      <c r="H27" s="33">
        <f>IF($A27="","",COUNTIFS('Gift Tracker'!$A$5:$A$304,$A27,'Gift Tracker'!$E$5:$E$304,"Yes"))</f>
        <v/>
      </c>
      <c r="I27" s="33">
        <f>IF($A27="","",COUNTIFS('Gift Tracker'!$A$5:$A$304,$A27,'Gift Tracker'!$F$5:$F$304,"Yes"))</f>
        <v/>
      </c>
      <c r="J27" s="33">
        <f>IF($A27="","",COUNTIFS('Gift Tracker'!$A$5:$A$304,$A27,'Gift Tracker'!$G$5:$G$304,"Yes"))</f>
        <v/>
      </c>
      <c r="K27" s="19">
        <f>IF($A27="","",IF(G27=0,"No gift yet",IF(AND(C27&lt;&gt;"",E27&gt;C27),"Over budget",IF(AND(C27&lt;&gt;"",D27&gt;C27,J27&lt;G27),"Plan over budget",IF(J27=G27,"All given ✓",IF(H27&lt;G27,"Shopping",IF(I27&lt;G27,"To wrap","Ready to give")))))))</f>
        <v/>
      </c>
    </row>
    <row r="28">
      <c r="A28" s="26" t="n"/>
      <c r="B28" s="26" t="n"/>
      <c r="C28" s="24" t="n"/>
      <c r="D28" s="20">
        <f>IF($A28="","",SUMIFS('Gift Tracker'!$D$5:$D$304,'Gift Tracker'!$A$5:$A$304,$A28))</f>
        <v/>
      </c>
      <c r="E28" s="20">
        <f>IF($A28="","",SUMIFS('Gift Tracker'!$D$5:$D$304,'Gift Tracker'!$A$5:$A$304,$A28,'Gift Tracker'!$E$5:$E$304,"Yes"))</f>
        <v/>
      </c>
      <c r="F28" s="20">
        <f>IF(OR($A28="",C28=""),"",C28-E28)</f>
        <v/>
      </c>
      <c r="G28" s="33">
        <f>IF($A28="","",COUNTIF('Gift Tracker'!$A$5:$A$304,$A28))</f>
        <v/>
      </c>
      <c r="H28" s="33">
        <f>IF($A28="","",COUNTIFS('Gift Tracker'!$A$5:$A$304,$A28,'Gift Tracker'!$E$5:$E$304,"Yes"))</f>
        <v/>
      </c>
      <c r="I28" s="33">
        <f>IF($A28="","",COUNTIFS('Gift Tracker'!$A$5:$A$304,$A28,'Gift Tracker'!$F$5:$F$304,"Yes"))</f>
        <v/>
      </c>
      <c r="J28" s="33">
        <f>IF($A28="","",COUNTIFS('Gift Tracker'!$A$5:$A$304,$A28,'Gift Tracker'!$G$5:$G$304,"Yes"))</f>
        <v/>
      </c>
      <c r="K28" s="19">
        <f>IF($A28="","",IF(G28=0,"No gift yet",IF(AND(C28&lt;&gt;"",E28&gt;C28),"Over budget",IF(AND(C28&lt;&gt;"",D28&gt;C28,J28&lt;G28),"Plan over budget",IF(J28=G28,"All given ✓",IF(H28&lt;G28,"Shopping",IF(I28&lt;G28,"To wrap","Ready to give")))))))</f>
        <v/>
      </c>
    </row>
    <row r="29">
      <c r="A29" s="26" t="n"/>
      <c r="B29" s="26" t="n"/>
      <c r="C29" s="24" t="n"/>
      <c r="D29" s="20">
        <f>IF($A29="","",SUMIFS('Gift Tracker'!$D$5:$D$304,'Gift Tracker'!$A$5:$A$304,$A29))</f>
        <v/>
      </c>
      <c r="E29" s="20">
        <f>IF($A29="","",SUMIFS('Gift Tracker'!$D$5:$D$304,'Gift Tracker'!$A$5:$A$304,$A29,'Gift Tracker'!$E$5:$E$304,"Yes"))</f>
        <v/>
      </c>
      <c r="F29" s="20">
        <f>IF(OR($A29="",C29=""),"",C29-E29)</f>
        <v/>
      </c>
      <c r="G29" s="33">
        <f>IF($A29="","",COUNTIF('Gift Tracker'!$A$5:$A$304,$A29))</f>
        <v/>
      </c>
      <c r="H29" s="33">
        <f>IF($A29="","",COUNTIFS('Gift Tracker'!$A$5:$A$304,$A29,'Gift Tracker'!$E$5:$E$304,"Yes"))</f>
        <v/>
      </c>
      <c r="I29" s="33">
        <f>IF($A29="","",COUNTIFS('Gift Tracker'!$A$5:$A$304,$A29,'Gift Tracker'!$F$5:$F$304,"Yes"))</f>
        <v/>
      </c>
      <c r="J29" s="33">
        <f>IF($A29="","",COUNTIFS('Gift Tracker'!$A$5:$A$304,$A29,'Gift Tracker'!$G$5:$G$304,"Yes"))</f>
        <v/>
      </c>
      <c r="K29" s="19">
        <f>IF($A29="","",IF(G29=0,"No gift yet",IF(AND(C29&lt;&gt;"",E29&gt;C29),"Over budget",IF(AND(C29&lt;&gt;"",D29&gt;C29,J29&lt;G29),"Plan over budget",IF(J29=G29,"All given ✓",IF(H29&lt;G29,"Shopping",IF(I29&lt;G29,"To wrap","Ready to give")))))))</f>
        <v/>
      </c>
    </row>
    <row r="30">
      <c r="A30" s="26" t="n"/>
      <c r="B30" s="26" t="n"/>
      <c r="C30" s="24" t="n"/>
      <c r="D30" s="20">
        <f>IF($A30="","",SUMIFS('Gift Tracker'!$D$5:$D$304,'Gift Tracker'!$A$5:$A$304,$A30))</f>
        <v/>
      </c>
      <c r="E30" s="20">
        <f>IF($A30="","",SUMIFS('Gift Tracker'!$D$5:$D$304,'Gift Tracker'!$A$5:$A$304,$A30,'Gift Tracker'!$E$5:$E$304,"Yes"))</f>
        <v/>
      </c>
      <c r="F30" s="20">
        <f>IF(OR($A30="",C30=""),"",C30-E30)</f>
        <v/>
      </c>
      <c r="G30" s="33">
        <f>IF($A30="","",COUNTIF('Gift Tracker'!$A$5:$A$304,$A30))</f>
        <v/>
      </c>
      <c r="H30" s="33">
        <f>IF($A30="","",COUNTIFS('Gift Tracker'!$A$5:$A$304,$A30,'Gift Tracker'!$E$5:$E$304,"Yes"))</f>
        <v/>
      </c>
      <c r="I30" s="33">
        <f>IF($A30="","",COUNTIFS('Gift Tracker'!$A$5:$A$304,$A30,'Gift Tracker'!$F$5:$F$304,"Yes"))</f>
        <v/>
      </c>
      <c r="J30" s="33">
        <f>IF($A30="","",COUNTIFS('Gift Tracker'!$A$5:$A$304,$A30,'Gift Tracker'!$G$5:$G$304,"Yes"))</f>
        <v/>
      </c>
      <c r="K30" s="19">
        <f>IF($A30="","",IF(G30=0,"No gift yet",IF(AND(C30&lt;&gt;"",E30&gt;C30),"Over budget",IF(AND(C30&lt;&gt;"",D30&gt;C30,J30&lt;G30),"Plan over budget",IF(J30=G30,"All given ✓",IF(H30&lt;G30,"Shopping",IF(I30&lt;G30,"To wrap","Ready to give")))))))</f>
        <v/>
      </c>
    </row>
    <row r="31">
      <c r="A31" s="26" t="n"/>
      <c r="B31" s="26" t="n"/>
      <c r="C31" s="24" t="n"/>
      <c r="D31" s="20">
        <f>IF($A31="","",SUMIFS('Gift Tracker'!$D$5:$D$304,'Gift Tracker'!$A$5:$A$304,$A31))</f>
        <v/>
      </c>
      <c r="E31" s="20">
        <f>IF($A31="","",SUMIFS('Gift Tracker'!$D$5:$D$304,'Gift Tracker'!$A$5:$A$304,$A31,'Gift Tracker'!$E$5:$E$304,"Yes"))</f>
        <v/>
      </c>
      <c r="F31" s="20">
        <f>IF(OR($A31="",C31=""),"",C31-E31)</f>
        <v/>
      </c>
      <c r="G31" s="33">
        <f>IF($A31="","",COUNTIF('Gift Tracker'!$A$5:$A$304,$A31))</f>
        <v/>
      </c>
      <c r="H31" s="33">
        <f>IF($A31="","",COUNTIFS('Gift Tracker'!$A$5:$A$304,$A31,'Gift Tracker'!$E$5:$E$304,"Yes"))</f>
        <v/>
      </c>
      <c r="I31" s="33">
        <f>IF($A31="","",COUNTIFS('Gift Tracker'!$A$5:$A$304,$A31,'Gift Tracker'!$F$5:$F$304,"Yes"))</f>
        <v/>
      </c>
      <c r="J31" s="33">
        <f>IF($A31="","",COUNTIFS('Gift Tracker'!$A$5:$A$304,$A31,'Gift Tracker'!$G$5:$G$304,"Yes"))</f>
        <v/>
      </c>
      <c r="K31" s="19">
        <f>IF($A31="","",IF(G31=0,"No gift yet",IF(AND(C31&lt;&gt;"",E31&gt;C31),"Over budget",IF(AND(C31&lt;&gt;"",D31&gt;C31,J31&lt;G31),"Plan over budget",IF(J31=G31,"All given ✓",IF(H31&lt;G31,"Shopping",IF(I31&lt;G31,"To wrap","Ready to give")))))))</f>
        <v/>
      </c>
    </row>
    <row r="32">
      <c r="A32" s="26" t="n"/>
      <c r="B32" s="26" t="n"/>
      <c r="C32" s="24" t="n"/>
      <c r="D32" s="20">
        <f>IF($A32="","",SUMIFS('Gift Tracker'!$D$5:$D$304,'Gift Tracker'!$A$5:$A$304,$A32))</f>
        <v/>
      </c>
      <c r="E32" s="20">
        <f>IF($A32="","",SUMIFS('Gift Tracker'!$D$5:$D$304,'Gift Tracker'!$A$5:$A$304,$A32,'Gift Tracker'!$E$5:$E$304,"Yes"))</f>
        <v/>
      </c>
      <c r="F32" s="20">
        <f>IF(OR($A32="",C32=""),"",C32-E32)</f>
        <v/>
      </c>
      <c r="G32" s="33">
        <f>IF($A32="","",COUNTIF('Gift Tracker'!$A$5:$A$304,$A32))</f>
        <v/>
      </c>
      <c r="H32" s="33">
        <f>IF($A32="","",COUNTIFS('Gift Tracker'!$A$5:$A$304,$A32,'Gift Tracker'!$E$5:$E$304,"Yes"))</f>
        <v/>
      </c>
      <c r="I32" s="33">
        <f>IF($A32="","",COUNTIFS('Gift Tracker'!$A$5:$A$304,$A32,'Gift Tracker'!$F$5:$F$304,"Yes"))</f>
        <v/>
      </c>
      <c r="J32" s="33">
        <f>IF($A32="","",COUNTIFS('Gift Tracker'!$A$5:$A$304,$A32,'Gift Tracker'!$G$5:$G$304,"Yes"))</f>
        <v/>
      </c>
      <c r="K32" s="19">
        <f>IF($A32="","",IF(G32=0,"No gift yet",IF(AND(C32&lt;&gt;"",E32&gt;C32),"Over budget",IF(AND(C32&lt;&gt;"",D32&gt;C32,J32&lt;G32),"Plan over budget",IF(J32=G32,"All given ✓",IF(H32&lt;G32,"Shopping",IF(I32&lt;G32,"To wrap","Ready to give")))))))</f>
        <v/>
      </c>
    </row>
    <row r="33">
      <c r="A33" s="26" t="n"/>
      <c r="B33" s="26" t="n"/>
      <c r="C33" s="24" t="n"/>
      <c r="D33" s="20">
        <f>IF($A33="","",SUMIFS('Gift Tracker'!$D$5:$D$304,'Gift Tracker'!$A$5:$A$304,$A33))</f>
        <v/>
      </c>
      <c r="E33" s="20">
        <f>IF($A33="","",SUMIFS('Gift Tracker'!$D$5:$D$304,'Gift Tracker'!$A$5:$A$304,$A33,'Gift Tracker'!$E$5:$E$304,"Yes"))</f>
        <v/>
      </c>
      <c r="F33" s="20">
        <f>IF(OR($A33="",C33=""),"",C33-E33)</f>
        <v/>
      </c>
      <c r="G33" s="33">
        <f>IF($A33="","",COUNTIF('Gift Tracker'!$A$5:$A$304,$A33))</f>
        <v/>
      </c>
      <c r="H33" s="33">
        <f>IF($A33="","",COUNTIFS('Gift Tracker'!$A$5:$A$304,$A33,'Gift Tracker'!$E$5:$E$304,"Yes"))</f>
        <v/>
      </c>
      <c r="I33" s="33">
        <f>IF($A33="","",COUNTIFS('Gift Tracker'!$A$5:$A$304,$A33,'Gift Tracker'!$F$5:$F$304,"Yes"))</f>
        <v/>
      </c>
      <c r="J33" s="33">
        <f>IF($A33="","",COUNTIFS('Gift Tracker'!$A$5:$A$304,$A33,'Gift Tracker'!$G$5:$G$304,"Yes"))</f>
        <v/>
      </c>
      <c r="K33" s="19">
        <f>IF($A33="","",IF(G33=0,"No gift yet",IF(AND(C33&lt;&gt;"",E33&gt;C33),"Over budget",IF(AND(C33&lt;&gt;"",D33&gt;C33,J33&lt;G33),"Plan over budget",IF(J33=G33,"All given ✓",IF(H33&lt;G33,"Shopping",IF(I33&lt;G33,"To wrap","Ready to give")))))))</f>
        <v/>
      </c>
    </row>
    <row r="34">
      <c r="A34" s="26" t="n"/>
      <c r="B34" s="26" t="n"/>
      <c r="C34" s="24" t="n"/>
      <c r="D34" s="20">
        <f>IF($A34="","",SUMIFS('Gift Tracker'!$D$5:$D$304,'Gift Tracker'!$A$5:$A$304,$A34))</f>
        <v/>
      </c>
      <c r="E34" s="20">
        <f>IF($A34="","",SUMIFS('Gift Tracker'!$D$5:$D$304,'Gift Tracker'!$A$5:$A$304,$A34,'Gift Tracker'!$E$5:$E$304,"Yes"))</f>
        <v/>
      </c>
      <c r="F34" s="20">
        <f>IF(OR($A34="",C34=""),"",C34-E34)</f>
        <v/>
      </c>
      <c r="G34" s="33">
        <f>IF($A34="","",COUNTIF('Gift Tracker'!$A$5:$A$304,$A34))</f>
        <v/>
      </c>
      <c r="H34" s="33">
        <f>IF($A34="","",COUNTIFS('Gift Tracker'!$A$5:$A$304,$A34,'Gift Tracker'!$E$5:$E$304,"Yes"))</f>
        <v/>
      </c>
      <c r="I34" s="33">
        <f>IF($A34="","",COUNTIFS('Gift Tracker'!$A$5:$A$304,$A34,'Gift Tracker'!$F$5:$F$304,"Yes"))</f>
        <v/>
      </c>
      <c r="J34" s="33">
        <f>IF($A34="","",COUNTIFS('Gift Tracker'!$A$5:$A$304,$A34,'Gift Tracker'!$G$5:$G$304,"Yes"))</f>
        <v/>
      </c>
      <c r="K34" s="19">
        <f>IF($A34="","",IF(G34=0,"No gift yet",IF(AND(C34&lt;&gt;"",E34&gt;C34),"Over budget",IF(AND(C34&lt;&gt;"",D34&gt;C34,J34&lt;G34),"Plan over budget",IF(J34=G34,"All given ✓",IF(H34&lt;G34,"Shopping",IF(I34&lt;G34,"To wrap","Ready to give")))))))</f>
        <v/>
      </c>
    </row>
    <row r="35">
      <c r="A35" s="26" t="n"/>
      <c r="B35" s="26" t="n"/>
      <c r="C35" s="24" t="n"/>
      <c r="D35" s="20">
        <f>IF($A35="","",SUMIFS('Gift Tracker'!$D$5:$D$304,'Gift Tracker'!$A$5:$A$304,$A35))</f>
        <v/>
      </c>
      <c r="E35" s="20">
        <f>IF($A35="","",SUMIFS('Gift Tracker'!$D$5:$D$304,'Gift Tracker'!$A$5:$A$304,$A35,'Gift Tracker'!$E$5:$E$304,"Yes"))</f>
        <v/>
      </c>
      <c r="F35" s="20">
        <f>IF(OR($A35="",C35=""),"",C35-E35)</f>
        <v/>
      </c>
      <c r="G35" s="33">
        <f>IF($A35="","",COUNTIF('Gift Tracker'!$A$5:$A$304,$A35))</f>
        <v/>
      </c>
      <c r="H35" s="33">
        <f>IF($A35="","",COUNTIFS('Gift Tracker'!$A$5:$A$304,$A35,'Gift Tracker'!$E$5:$E$304,"Yes"))</f>
        <v/>
      </c>
      <c r="I35" s="33">
        <f>IF($A35="","",COUNTIFS('Gift Tracker'!$A$5:$A$304,$A35,'Gift Tracker'!$F$5:$F$304,"Yes"))</f>
        <v/>
      </c>
      <c r="J35" s="33">
        <f>IF($A35="","",COUNTIFS('Gift Tracker'!$A$5:$A$304,$A35,'Gift Tracker'!$G$5:$G$304,"Yes"))</f>
        <v/>
      </c>
      <c r="K35" s="19">
        <f>IF($A35="","",IF(G35=0,"No gift yet",IF(AND(C35&lt;&gt;"",E35&gt;C35),"Over budget",IF(AND(C35&lt;&gt;"",D35&gt;C35,J35&lt;G35),"Plan over budget",IF(J35=G35,"All given ✓",IF(H35&lt;G35,"Shopping",IF(I35&lt;G35,"To wrap","Ready to give")))))))</f>
        <v/>
      </c>
    </row>
    <row r="36">
      <c r="A36" s="26" t="n"/>
      <c r="B36" s="26" t="n"/>
      <c r="C36" s="24" t="n"/>
      <c r="D36" s="20">
        <f>IF($A36="","",SUMIFS('Gift Tracker'!$D$5:$D$304,'Gift Tracker'!$A$5:$A$304,$A36))</f>
        <v/>
      </c>
      <c r="E36" s="20">
        <f>IF($A36="","",SUMIFS('Gift Tracker'!$D$5:$D$304,'Gift Tracker'!$A$5:$A$304,$A36,'Gift Tracker'!$E$5:$E$304,"Yes"))</f>
        <v/>
      </c>
      <c r="F36" s="20">
        <f>IF(OR($A36="",C36=""),"",C36-E36)</f>
        <v/>
      </c>
      <c r="G36" s="33">
        <f>IF($A36="","",COUNTIF('Gift Tracker'!$A$5:$A$304,$A36))</f>
        <v/>
      </c>
      <c r="H36" s="33">
        <f>IF($A36="","",COUNTIFS('Gift Tracker'!$A$5:$A$304,$A36,'Gift Tracker'!$E$5:$E$304,"Yes"))</f>
        <v/>
      </c>
      <c r="I36" s="33">
        <f>IF($A36="","",COUNTIFS('Gift Tracker'!$A$5:$A$304,$A36,'Gift Tracker'!$F$5:$F$304,"Yes"))</f>
        <v/>
      </c>
      <c r="J36" s="33">
        <f>IF($A36="","",COUNTIFS('Gift Tracker'!$A$5:$A$304,$A36,'Gift Tracker'!$G$5:$G$304,"Yes"))</f>
        <v/>
      </c>
      <c r="K36" s="19">
        <f>IF($A36="","",IF(G36=0,"No gift yet",IF(AND(C36&lt;&gt;"",E36&gt;C36),"Over budget",IF(AND(C36&lt;&gt;"",D36&gt;C36,J36&lt;G36),"Plan over budget",IF(J36=G36,"All given ✓",IF(H36&lt;G36,"Shopping",IF(I36&lt;G36,"To wrap","Ready to give")))))))</f>
        <v/>
      </c>
    </row>
    <row r="37">
      <c r="A37" s="26" t="n"/>
      <c r="B37" s="26" t="n"/>
      <c r="C37" s="24" t="n"/>
      <c r="D37" s="20">
        <f>IF($A37="","",SUMIFS('Gift Tracker'!$D$5:$D$304,'Gift Tracker'!$A$5:$A$304,$A37))</f>
        <v/>
      </c>
      <c r="E37" s="20">
        <f>IF($A37="","",SUMIFS('Gift Tracker'!$D$5:$D$304,'Gift Tracker'!$A$5:$A$304,$A37,'Gift Tracker'!$E$5:$E$304,"Yes"))</f>
        <v/>
      </c>
      <c r="F37" s="20">
        <f>IF(OR($A37="",C37=""),"",C37-E37)</f>
        <v/>
      </c>
      <c r="G37" s="33">
        <f>IF($A37="","",COUNTIF('Gift Tracker'!$A$5:$A$304,$A37))</f>
        <v/>
      </c>
      <c r="H37" s="33">
        <f>IF($A37="","",COUNTIFS('Gift Tracker'!$A$5:$A$304,$A37,'Gift Tracker'!$E$5:$E$304,"Yes"))</f>
        <v/>
      </c>
      <c r="I37" s="33">
        <f>IF($A37="","",COUNTIFS('Gift Tracker'!$A$5:$A$304,$A37,'Gift Tracker'!$F$5:$F$304,"Yes"))</f>
        <v/>
      </c>
      <c r="J37" s="33">
        <f>IF($A37="","",COUNTIFS('Gift Tracker'!$A$5:$A$304,$A37,'Gift Tracker'!$G$5:$G$304,"Yes"))</f>
        <v/>
      </c>
      <c r="K37" s="19">
        <f>IF($A37="","",IF(G37=0,"No gift yet",IF(AND(C37&lt;&gt;"",E37&gt;C37),"Over budget",IF(AND(C37&lt;&gt;"",D37&gt;C37,J37&lt;G37),"Plan over budget",IF(J37=G37,"All given ✓",IF(H37&lt;G37,"Shopping",IF(I37&lt;G37,"To wrap","Ready to give")))))))</f>
        <v/>
      </c>
    </row>
    <row r="38">
      <c r="A38" s="26" t="n"/>
      <c r="B38" s="26" t="n"/>
      <c r="C38" s="24" t="n"/>
      <c r="D38" s="20">
        <f>IF($A38="","",SUMIFS('Gift Tracker'!$D$5:$D$304,'Gift Tracker'!$A$5:$A$304,$A38))</f>
        <v/>
      </c>
      <c r="E38" s="20">
        <f>IF($A38="","",SUMIFS('Gift Tracker'!$D$5:$D$304,'Gift Tracker'!$A$5:$A$304,$A38,'Gift Tracker'!$E$5:$E$304,"Yes"))</f>
        <v/>
      </c>
      <c r="F38" s="20">
        <f>IF(OR($A38="",C38=""),"",C38-E38)</f>
        <v/>
      </c>
      <c r="G38" s="33">
        <f>IF($A38="","",COUNTIF('Gift Tracker'!$A$5:$A$304,$A38))</f>
        <v/>
      </c>
      <c r="H38" s="33">
        <f>IF($A38="","",COUNTIFS('Gift Tracker'!$A$5:$A$304,$A38,'Gift Tracker'!$E$5:$E$304,"Yes"))</f>
        <v/>
      </c>
      <c r="I38" s="33">
        <f>IF($A38="","",COUNTIFS('Gift Tracker'!$A$5:$A$304,$A38,'Gift Tracker'!$F$5:$F$304,"Yes"))</f>
        <v/>
      </c>
      <c r="J38" s="33">
        <f>IF($A38="","",COUNTIFS('Gift Tracker'!$A$5:$A$304,$A38,'Gift Tracker'!$G$5:$G$304,"Yes"))</f>
        <v/>
      </c>
      <c r="K38" s="19">
        <f>IF($A38="","",IF(G38=0,"No gift yet",IF(AND(C38&lt;&gt;"",E38&gt;C38),"Over budget",IF(AND(C38&lt;&gt;"",D38&gt;C38,J38&lt;G38),"Plan over budget",IF(J38=G38,"All given ✓",IF(H38&lt;G38,"Shopping",IF(I38&lt;G38,"To wrap","Ready to give")))))))</f>
        <v/>
      </c>
    </row>
    <row r="39">
      <c r="A39" s="26" t="n"/>
      <c r="B39" s="26" t="n"/>
      <c r="C39" s="24" t="n"/>
      <c r="D39" s="20">
        <f>IF($A39="","",SUMIFS('Gift Tracker'!$D$5:$D$304,'Gift Tracker'!$A$5:$A$304,$A39))</f>
        <v/>
      </c>
      <c r="E39" s="20">
        <f>IF($A39="","",SUMIFS('Gift Tracker'!$D$5:$D$304,'Gift Tracker'!$A$5:$A$304,$A39,'Gift Tracker'!$E$5:$E$304,"Yes"))</f>
        <v/>
      </c>
      <c r="F39" s="20">
        <f>IF(OR($A39="",C39=""),"",C39-E39)</f>
        <v/>
      </c>
      <c r="G39" s="33">
        <f>IF($A39="","",COUNTIF('Gift Tracker'!$A$5:$A$304,$A39))</f>
        <v/>
      </c>
      <c r="H39" s="33">
        <f>IF($A39="","",COUNTIFS('Gift Tracker'!$A$5:$A$304,$A39,'Gift Tracker'!$E$5:$E$304,"Yes"))</f>
        <v/>
      </c>
      <c r="I39" s="33">
        <f>IF($A39="","",COUNTIFS('Gift Tracker'!$A$5:$A$304,$A39,'Gift Tracker'!$F$5:$F$304,"Yes"))</f>
        <v/>
      </c>
      <c r="J39" s="33">
        <f>IF($A39="","",COUNTIFS('Gift Tracker'!$A$5:$A$304,$A39,'Gift Tracker'!$G$5:$G$304,"Yes"))</f>
        <v/>
      </c>
      <c r="K39" s="19">
        <f>IF($A39="","",IF(G39=0,"No gift yet",IF(AND(C39&lt;&gt;"",E39&gt;C39),"Over budget",IF(AND(C39&lt;&gt;"",D39&gt;C39,J39&lt;G39),"Plan over budget",IF(J39=G39,"All given ✓",IF(H39&lt;G39,"Shopping",IF(I39&lt;G39,"To wrap","Ready to give")))))))</f>
        <v/>
      </c>
    </row>
    <row r="40">
      <c r="A40" s="26" t="n"/>
      <c r="B40" s="26" t="n"/>
      <c r="C40" s="24" t="n"/>
      <c r="D40" s="20">
        <f>IF($A40="","",SUMIFS('Gift Tracker'!$D$5:$D$304,'Gift Tracker'!$A$5:$A$304,$A40))</f>
        <v/>
      </c>
      <c r="E40" s="20">
        <f>IF($A40="","",SUMIFS('Gift Tracker'!$D$5:$D$304,'Gift Tracker'!$A$5:$A$304,$A40,'Gift Tracker'!$E$5:$E$304,"Yes"))</f>
        <v/>
      </c>
      <c r="F40" s="20">
        <f>IF(OR($A40="",C40=""),"",C40-E40)</f>
        <v/>
      </c>
      <c r="G40" s="33">
        <f>IF($A40="","",COUNTIF('Gift Tracker'!$A$5:$A$304,$A40))</f>
        <v/>
      </c>
      <c r="H40" s="33">
        <f>IF($A40="","",COUNTIFS('Gift Tracker'!$A$5:$A$304,$A40,'Gift Tracker'!$E$5:$E$304,"Yes"))</f>
        <v/>
      </c>
      <c r="I40" s="33">
        <f>IF($A40="","",COUNTIFS('Gift Tracker'!$A$5:$A$304,$A40,'Gift Tracker'!$F$5:$F$304,"Yes"))</f>
        <v/>
      </c>
      <c r="J40" s="33">
        <f>IF($A40="","",COUNTIFS('Gift Tracker'!$A$5:$A$304,$A40,'Gift Tracker'!$G$5:$G$304,"Yes"))</f>
        <v/>
      </c>
      <c r="K40" s="19">
        <f>IF($A40="","",IF(G40=0,"No gift yet",IF(AND(C40&lt;&gt;"",E40&gt;C40),"Over budget",IF(AND(C40&lt;&gt;"",D40&gt;C40,J40&lt;G40),"Plan over budget",IF(J40=G40,"All given ✓",IF(H40&lt;G40,"Shopping",IF(I40&lt;G40,"To wrap","Ready to give")))))))</f>
        <v/>
      </c>
    </row>
    <row r="41">
      <c r="A41" s="26" t="n"/>
      <c r="B41" s="26" t="n"/>
      <c r="C41" s="24" t="n"/>
      <c r="D41" s="20">
        <f>IF($A41="","",SUMIFS('Gift Tracker'!$D$5:$D$304,'Gift Tracker'!$A$5:$A$304,$A41))</f>
        <v/>
      </c>
      <c r="E41" s="20">
        <f>IF($A41="","",SUMIFS('Gift Tracker'!$D$5:$D$304,'Gift Tracker'!$A$5:$A$304,$A41,'Gift Tracker'!$E$5:$E$304,"Yes"))</f>
        <v/>
      </c>
      <c r="F41" s="20">
        <f>IF(OR($A41="",C41=""),"",C41-E41)</f>
        <v/>
      </c>
      <c r="G41" s="33">
        <f>IF($A41="","",COUNTIF('Gift Tracker'!$A$5:$A$304,$A41))</f>
        <v/>
      </c>
      <c r="H41" s="33">
        <f>IF($A41="","",COUNTIFS('Gift Tracker'!$A$5:$A$304,$A41,'Gift Tracker'!$E$5:$E$304,"Yes"))</f>
        <v/>
      </c>
      <c r="I41" s="33">
        <f>IF($A41="","",COUNTIFS('Gift Tracker'!$A$5:$A$304,$A41,'Gift Tracker'!$F$5:$F$304,"Yes"))</f>
        <v/>
      </c>
      <c r="J41" s="33">
        <f>IF($A41="","",COUNTIFS('Gift Tracker'!$A$5:$A$304,$A41,'Gift Tracker'!$G$5:$G$304,"Yes"))</f>
        <v/>
      </c>
      <c r="K41" s="19">
        <f>IF($A41="","",IF(G41=0,"No gift yet",IF(AND(C41&lt;&gt;"",E41&gt;C41),"Over budget",IF(AND(C41&lt;&gt;"",D41&gt;C41,J41&lt;G41),"Plan over budget",IF(J41=G41,"All given ✓",IF(H41&lt;G41,"Shopping",IF(I41&lt;G41,"To wrap","Ready to give")))))))</f>
        <v/>
      </c>
    </row>
    <row r="42">
      <c r="A42" s="26" t="n"/>
      <c r="B42" s="26" t="n"/>
      <c r="C42" s="24" t="n"/>
      <c r="D42" s="20">
        <f>IF($A42="","",SUMIFS('Gift Tracker'!$D$5:$D$304,'Gift Tracker'!$A$5:$A$304,$A42))</f>
        <v/>
      </c>
      <c r="E42" s="20">
        <f>IF($A42="","",SUMIFS('Gift Tracker'!$D$5:$D$304,'Gift Tracker'!$A$5:$A$304,$A42,'Gift Tracker'!$E$5:$E$304,"Yes"))</f>
        <v/>
      </c>
      <c r="F42" s="20">
        <f>IF(OR($A42="",C42=""),"",C42-E42)</f>
        <v/>
      </c>
      <c r="G42" s="33">
        <f>IF($A42="","",COUNTIF('Gift Tracker'!$A$5:$A$304,$A42))</f>
        <v/>
      </c>
      <c r="H42" s="33">
        <f>IF($A42="","",COUNTIFS('Gift Tracker'!$A$5:$A$304,$A42,'Gift Tracker'!$E$5:$E$304,"Yes"))</f>
        <v/>
      </c>
      <c r="I42" s="33">
        <f>IF($A42="","",COUNTIFS('Gift Tracker'!$A$5:$A$304,$A42,'Gift Tracker'!$F$5:$F$304,"Yes"))</f>
        <v/>
      </c>
      <c r="J42" s="33">
        <f>IF($A42="","",COUNTIFS('Gift Tracker'!$A$5:$A$304,$A42,'Gift Tracker'!$G$5:$G$304,"Yes"))</f>
        <v/>
      </c>
      <c r="K42" s="19">
        <f>IF($A42="","",IF(G42=0,"No gift yet",IF(AND(C42&lt;&gt;"",E42&gt;C42),"Over budget",IF(AND(C42&lt;&gt;"",D42&gt;C42,J42&lt;G42),"Plan over budget",IF(J42=G42,"All given ✓",IF(H42&lt;G42,"Shopping",IF(I42&lt;G42,"To wrap","Ready to give")))))))</f>
        <v/>
      </c>
    </row>
    <row r="43">
      <c r="A43" s="26" t="n"/>
      <c r="B43" s="26" t="n"/>
      <c r="C43" s="24" t="n"/>
      <c r="D43" s="20">
        <f>IF($A43="","",SUMIFS('Gift Tracker'!$D$5:$D$304,'Gift Tracker'!$A$5:$A$304,$A43))</f>
        <v/>
      </c>
      <c r="E43" s="20">
        <f>IF($A43="","",SUMIFS('Gift Tracker'!$D$5:$D$304,'Gift Tracker'!$A$5:$A$304,$A43,'Gift Tracker'!$E$5:$E$304,"Yes"))</f>
        <v/>
      </c>
      <c r="F43" s="20">
        <f>IF(OR($A43="",C43=""),"",C43-E43)</f>
        <v/>
      </c>
      <c r="G43" s="33">
        <f>IF($A43="","",COUNTIF('Gift Tracker'!$A$5:$A$304,$A43))</f>
        <v/>
      </c>
      <c r="H43" s="33">
        <f>IF($A43="","",COUNTIFS('Gift Tracker'!$A$5:$A$304,$A43,'Gift Tracker'!$E$5:$E$304,"Yes"))</f>
        <v/>
      </c>
      <c r="I43" s="33">
        <f>IF($A43="","",COUNTIFS('Gift Tracker'!$A$5:$A$304,$A43,'Gift Tracker'!$F$5:$F$304,"Yes"))</f>
        <v/>
      </c>
      <c r="J43" s="33">
        <f>IF($A43="","",COUNTIFS('Gift Tracker'!$A$5:$A$304,$A43,'Gift Tracker'!$G$5:$G$304,"Yes"))</f>
        <v/>
      </c>
      <c r="K43" s="19">
        <f>IF($A43="","",IF(G43=0,"No gift yet",IF(AND(C43&lt;&gt;"",E43&gt;C43),"Over budget",IF(AND(C43&lt;&gt;"",D43&gt;C43,J43&lt;G43),"Plan over budget",IF(J43=G43,"All given ✓",IF(H43&lt;G43,"Shopping",IF(I43&lt;G43,"To wrap","Ready to give")))))))</f>
        <v/>
      </c>
    </row>
    <row r="44">
      <c r="A44" s="26" t="n"/>
      <c r="B44" s="26" t="n"/>
      <c r="C44" s="24" t="n"/>
      <c r="D44" s="20">
        <f>IF($A44="","",SUMIFS('Gift Tracker'!$D$5:$D$304,'Gift Tracker'!$A$5:$A$304,$A44))</f>
        <v/>
      </c>
      <c r="E44" s="20">
        <f>IF($A44="","",SUMIFS('Gift Tracker'!$D$5:$D$304,'Gift Tracker'!$A$5:$A$304,$A44,'Gift Tracker'!$E$5:$E$304,"Yes"))</f>
        <v/>
      </c>
      <c r="F44" s="20">
        <f>IF(OR($A44="",C44=""),"",C44-E44)</f>
        <v/>
      </c>
      <c r="G44" s="33">
        <f>IF($A44="","",COUNTIF('Gift Tracker'!$A$5:$A$304,$A44))</f>
        <v/>
      </c>
      <c r="H44" s="33">
        <f>IF($A44="","",COUNTIFS('Gift Tracker'!$A$5:$A$304,$A44,'Gift Tracker'!$E$5:$E$304,"Yes"))</f>
        <v/>
      </c>
      <c r="I44" s="33">
        <f>IF($A44="","",COUNTIFS('Gift Tracker'!$A$5:$A$304,$A44,'Gift Tracker'!$F$5:$F$304,"Yes"))</f>
        <v/>
      </c>
      <c r="J44" s="33">
        <f>IF($A44="","",COUNTIFS('Gift Tracker'!$A$5:$A$304,$A44,'Gift Tracker'!$G$5:$G$304,"Yes"))</f>
        <v/>
      </c>
      <c r="K44" s="19">
        <f>IF($A44="","",IF(G44=0,"No gift yet",IF(AND(C44&lt;&gt;"",E44&gt;C44),"Over budget",IF(AND(C44&lt;&gt;"",D44&gt;C44,J44&lt;G44),"Plan over budget",IF(J44=G44,"All given ✓",IF(H44&lt;G44,"Shopping",IF(I44&lt;G44,"To wrap","Ready to give")))))))</f>
        <v/>
      </c>
    </row>
    <row r="45">
      <c r="A45" s="26" t="n"/>
      <c r="B45" s="26" t="n"/>
      <c r="C45" s="24" t="n"/>
      <c r="D45" s="20">
        <f>IF($A45="","",SUMIFS('Gift Tracker'!$D$5:$D$304,'Gift Tracker'!$A$5:$A$304,$A45))</f>
        <v/>
      </c>
      <c r="E45" s="20">
        <f>IF($A45="","",SUMIFS('Gift Tracker'!$D$5:$D$304,'Gift Tracker'!$A$5:$A$304,$A45,'Gift Tracker'!$E$5:$E$304,"Yes"))</f>
        <v/>
      </c>
      <c r="F45" s="20">
        <f>IF(OR($A45="",C45=""),"",C45-E45)</f>
        <v/>
      </c>
      <c r="G45" s="33">
        <f>IF($A45="","",COUNTIF('Gift Tracker'!$A$5:$A$304,$A45))</f>
        <v/>
      </c>
      <c r="H45" s="33">
        <f>IF($A45="","",COUNTIFS('Gift Tracker'!$A$5:$A$304,$A45,'Gift Tracker'!$E$5:$E$304,"Yes"))</f>
        <v/>
      </c>
      <c r="I45" s="33">
        <f>IF($A45="","",COUNTIFS('Gift Tracker'!$A$5:$A$304,$A45,'Gift Tracker'!$F$5:$F$304,"Yes"))</f>
        <v/>
      </c>
      <c r="J45" s="33">
        <f>IF($A45="","",COUNTIFS('Gift Tracker'!$A$5:$A$304,$A45,'Gift Tracker'!$G$5:$G$304,"Yes"))</f>
        <v/>
      </c>
      <c r="K45" s="19">
        <f>IF($A45="","",IF(G45=0,"No gift yet",IF(AND(C45&lt;&gt;"",E45&gt;C45),"Over budget",IF(AND(C45&lt;&gt;"",D45&gt;C45,J45&lt;G45),"Plan over budget",IF(J45=G45,"All given ✓",IF(H45&lt;G45,"Shopping",IF(I45&lt;G45,"To wrap","Ready to give")))))))</f>
        <v/>
      </c>
    </row>
    <row r="46">
      <c r="A46" s="26" t="n"/>
      <c r="B46" s="26" t="n"/>
      <c r="C46" s="24" t="n"/>
      <c r="D46" s="20">
        <f>IF($A46="","",SUMIFS('Gift Tracker'!$D$5:$D$304,'Gift Tracker'!$A$5:$A$304,$A46))</f>
        <v/>
      </c>
      <c r="E46" s="20">
        <f>IF($A46="","",SUMIFS('Gift Tracker'!$D$5:$D$304,'Gift Tracker'!$A$5:$A$304,$A46,'Gift Tracker'!$E$5:$E$304,"Yes"))</f>
        <v/>
      </c>
      <c r="F46" s="20">
        <f>IF(OR($A46="",C46=""),"",C46-E46)</f>
        <v/>
      </c>
      <c r="G46" s="33">
        <f>IF($A46="","",COUNTIF('Gift Tracker'!$A$5:$A$304,$A46))</f>
        <v/>
      </c>
      <c r="H46" s="33">
        <f>IF($A46="","",COUNTIFS('Gift Tracker'!$A$5:$A$304,$A46,'Gift Tracker'!$E$5:$E$304,"Yes"))</f>
        <v/>
      </c>
      <c r="I46" s="33">
        <f>IF($A46="","",COUNTIFS('Gift Tracker'!$A$5:$A$304,$A46,'Gift Tracker'!$F$5:$F$304,"Yes"))</f>
        <v/>
      </c>
      <c r="J46" s="33">
        <f>IF($A46="","",COUNTIFS('Gift Tracker'!$A$5:$A$304,$A46,'Gift Tracker'!$G$5:$G$304,"Yes"))</f>
        <v/>
      </c>
      <c r="K46" s="19">
        <f>IF($A46="","",IF(G46=0,"No gift yet",IF(AND(C46&lt;&gt;"",E46&gt;C46),"Over budget",IF(AND(C46&lt;&gt;"",D46&gt;C46,J46&lt;G46),"Plan over budget",IF(J46=G46,"All given ✓",IF(H46&lt;G46,"Shopping",IF(I46&lt;G46,"To wrap","Ready to give")))))))</f>
        <v/>
      </c>
    </row>
    <row r="47">
      <c r="A47" s="26" t="n"/>
      <c r="B47" s="26" t="n"/>
      <c r="C47" s="24" t="n"/>
      <c r="D47" s="20">
        <f>IF($A47="","",SUMIFS('Gift Tracker'!$D$5:$D$304,'Gift Tracker'!$A$5:$A$304,$A47))</f>
        <v/>
      </c>
      <c r="E47" s="20">
        <f>IF($A47="","",SUMIFS('Gift Tracker'!$D$5:$D$304,'Gift Tracker'!$A$5:$A$304,$A47,'Gift Tracker'!$E$5:$E$304,"Yes"))</f>
        <v/>
      </c>
      <c r="F47" s="20">
        <f>IF(OR($A47="",C47=""),"",C47-E47)</f>
        <v/>
      </c>
      <c r="G47" s="33">
        <f>IF($A47="","",COUNTIF('Gift Tracker'!$A$5:$A$304,$A47))</f>
        <v/>
      </c>
      <c r="H47" s="33">
        <f>IF($A47="","",COUNTIFS('Gift Tracker'!$A$5:$A$304,$A47,'Gift Tracker'!$E$5:$E$304,"Yes"))</f>
        <v/>
      </c>
      <c r="I47" s="33">
        <f>IF($A47="","",COUNTIFS('Gift Tracker'!$A$5:$A$304,$A47,'Gift Tracker'!$F$5:$F$304,"Yes"))</f>
        <v/>
      </c>
      <c r="J47" s="33">
        <f>IF($A47="","",COUNTIFS('Gift Tracker'!$A$5:$A$304,$A47,'Gift Tracker'!$G$5:$G$304,"Yes"))</f>
        <v/>
      </c>
      <c r="K47" s="19">
        <f>IF($A47="","",IF(G47=0,"No gift yet",IF(AND(C47&lt;&gt;"",E47&gt;C47),"Over budget",IF(AND(C47&lt;&gt;"",D47&gt;C47,J47&lt;G47),"Plan over budget",IF(J47=G47,"All given ✓",IF(H47&lt;G47,"Shopping",IF(I47&lt;G47,"To wrap","Ready to give")))))))</f>
        <v/>
      </c>
    </row>
    <row r="48">
      <c r="A48" s="26" t="n"/>
      <c r="B48" s="26" t="n"/>
      <c r="C48" s="24" t="n"/>
      <c r="D48" s="20">
        <f>IF($A48="","",SUMIFS('Gift Tracker'!$D$5:$D$304,'Gift Tracker'!$A$5:$A$304,$A48))</f>
        <v/>
      </c>
      <c r="E48" s="20">
        <f>IF($A48="","",SUMIFS('Gift Tracker'!$D$5:$D$304,'Gift Tracker'!$A$5:$A$304,$A48,'Gift Tracker'!$E$5:$E$304,"Yes"))</f>
        <v/>
      </c>
      <c r="F48" s="20">
        <f>IF(OR($A48="",C48=""),"",C48-E48)</f>
        <v/>
      </c>
      <c r="G48" s="33">
        <f>IF($A48="","",COUNTIF('Gift Tracker'!$A$5:$A$304,$A48))</f>
        <v/>
      </c>
      <c r="H48" s="33">
        <f>IF($A48="","",COUNTIFS('Gift Tracker'!$A$5:$A$304,$A48,'Gift Tracker'!$E$5:$E$304,"Yes"))</f>
        <v/>
      </c>
      <c r="I48" s="33">
        <f>IF($A48="","",COUNTIFS('Gift Tracker'!$A$5:$A$304,$A48,'Gift Tracker'!$F$5:$F$304,"Yes"))</f>
        <v/>
      </c>
      <c r="J48" s="33">
        <f>IF($A48="","",COUNTIFS('Gift Tracker'!$A$5:$A$304,$A48,'Gift Tracker'!$G$5:$G$304,"Yes"))</f>
        <v/>
      </c>
      <c r="K48" s="19">
        <f>IF($A48="","",IF(G48=0,"No gift yet",IF(AND(C48&lt;&gt;"",E48&gt;C48),"Over budget",IF(AND(C48&lt;&gt;"",D48&gt;C48,J48&lt;G48),"Plan over budget",IF(J48=G48,"All given ✓",IF(H48&lt;G48,"Shopping",IF(I48&lt;G48,"To wrap","Ready to give")))))))</f>
        <v/>
      </c>
    </row>
    <row r="49">
      <c r="A49" s="26" t="n"/>
      <c r="B49" s="26" t="n"/>
      <c r="C49" s="24" t="n"/>
      <c r="D49" s="20">
        <f>IF($A49="","",SUMIFS('Gift Tracker'!$D$5:$D$304,'Gift Tracker'!$A$5:$A$304,$A49))</f>
        <v/>
      </c>
      <c r="E49" s="20">
        <f>IF($A49="","",SUMIFS('Gift Tracker'!$D$5:$D$304,'Gift Tracker'!$A$5:$A$304,$A49,'Gift Tracker'!$E$5:$E$304,"Yes"))</f>
        <v/>
      </c>
      <c r="F49" s="20">
        <f>IF(OR($A49="",C49=""),"",C49-E49)</f>
        <v/>
      </c>
      <c r="G49" s="33">
        <f>IF($A49="","",COUNTIF('Gift Tracker'!$A$5:$A$304,$A49))</f>
        <v/>
      </c>
      <c r="H49" s="33">
        <f>IF($A49="","",COUNTIFS('Gift Tracker'!$A$5:$A$304,$A49,'Gift Tracker'!$E$5:$E$304,"Yes"))</f>
        <v/>
      </c>
      <c r="I49" s="33">
        <f>IF($A49="","",COUNTIFS('Gift Tracker'!$A$5:$A$304,$A49,'Gift Tracker'!$F$5:$F$304,"Yes"))</f>
        <v/>
      </c>
      <c r="J49" s="33">
        <f>IF($A49="","",COUNTIFS('Gift Tracker'!$A$5:$A$304,$A49,'Gift Tracker'!$G$5:$G$304,"Yes"))</f>
        <v/>
      </c>
      <c r="K49" s="19">
        <f>IF($A49="","",IF(G49=0,"No gift yet",IF(AND(C49&lt;&gt;"",E49&gt;C49),"Over budget",IF(AND(C49&lt;&gt;"",D49&gt;C49,J49&lt;G49),"Plan over budget",IF(J49=G49,"All given ✓",IF(H49&lt;G49,"Shopping",IF(I49&lt;G49,"To wrap","Ready to give")))))))</f>
        <v/>
      </c>
    </row>
    <row r="50">
      <c r="A50" s="26" t="n"/>
      <c r="B50" s="26" t="n"/>
      <c r="C50" s="24" t="n"/>
      <c r="D50" s="20">
        <f>IF($A50="","",SUMIFS('Gift Tracker'!$D$5:$D$304,'Gift Tracker'!$A$5:$A$304,$A50))</f>
        <v/>
      </c>
      <c r="E50" s="20">
        <f>IF($A50="","",SUMIFS('Gift Tracker'!$D$5:$D$304,'Gift Tracker'!$A$5:$A$304,$A50,'Gift Tracker'!$E$5:$E$304,"Yes"))</f>
        <v/>
      </c>
      <c r="F50" s="20">
        <f>IF(OR($A50="",C50=""),"",C50-E50)</f>
        <v/>
      </c>
      <c r="G50" s="33">
        <f>IF($A50="","",COUNTIF('Gift Tracker'!$A$5:$A$304,$A50))</f>
        <v/>
      </c>
      <c r="H50" s="33">
        <f>IF($A50="","",COUNTIFS('Gift Tracker'!$A$5:$A$304,$A50,'Gift Tracker'!$E$5:$E$304,"Yes"))</f>
        <v/>
      </c>
      <c r="I50" s="33">
        <f>IF($A50="","",COUNTIFS('Gift Tracker'!$A$5:$A$304,$A50,'Gift Tracker'!$F$5:$F$304,"Yes"))</f>
        <v/>
      </c>
      <c r="J50" s="33">
        <f>IF($A50="","",COUNTIFS('Gift Tracker'!$A$5:$A$304,$A50,'Gift Tracker'!$G$5:$G$304,"Yes"))</f>
        <v/>
      </c>
      <c r="K50" s="19">
        <f>IF($A50="","",IF(G50=0,"No gift yet",IF(AND(C50&lt;&gt;"",E50&gt;C50),"Over budget",IF(AND(C50&lt;&gt;"",D50&gt;C50,J50&lt;G50),"Plan over budget",IF(J50=G50,"All given ✓",IF(H50&lt;G50,"Shopping",IF(I50&lt;G50,"To wrap","Ready to give")))))))</f>
        <v/>
      </c>
    </row>
    <row r="51">
      <c r="A51" s="26" t="n"/>
      <c r="B51" s="26" t="n"/>
      <c r="C51" s="24" t="n"/>
      <c r="D51" s="20">
        <f>IF($A51="","",SUMIFS('Gift Tracker'!$D$5:$D$304,'Gift Tracker'!$A$5:$A$304,$A51))</f>
        <v/>
      </c>
      <c r="E51" s="20">
        <f>IF($A51="","",SUMIFS('Gift Tracker'!$D$5:$D$304,'Gift Tracker'!$A$5:$A$304,$A51,'Gift Tracker'!$E$5:$E$304,"Yes"))</f>
        <v/>
      </c>
      <c r="F51" s="20">
        <f>IF(OR($A51="",C51=""),"",C51-E51)</f>
        <v/>
      </c>
      <c r="G51" s="33">
        <f>IF($A51="","",COUNTIF('Gift Tracker'!$A$5:$A$304,$A51))</f>
        <v/>
      </c>
      <c r="H51" s="33">
        <f>IF($A51="","",COUNTIFS('Gift Tracker'!$A$5:$A$304,$A51,'Gift Tracker'!$E$5:$E$304,"Yes"))</f>
        <v/>
      </c>
      <c r="I51" s="33">
        <f>IF($A51="","",COUNTIFS('Gift Tracker'!$A$5:$A$304,$A51,'Gift Tracker'!$F$5:$F$304,"Yes"))</f>
        <v/>
      </c>
      <c r="J51" s="33">
        <f>IF($A51="","",COUNTIFS('Gift Tracker'!$A$5:$A$304,$A51,'Gift Tracker'!$G$5:$G$304,"Yes"))</f>
        <v/>
      </c>
      <c r="K51" s="19">
        <f>IF($A51="","",IF(G51=0,"No gift yet",IF(AND(C51&lt;&gt;"",E51&gt;C51),"Over budget",IF(AND(C51&lt;&gt;"",D51&gt;C51,J51&lt;G51),"Plan over budget",IF(J51=G51,"All given ✓",IF(H51&lt;G51,"Shopping",IF(I51&lt;G51,"To wrap","Ready to give")))))))</f>
        <v/>
      </c>
    </row>
    <row r="52">
      <c r="A52" s="26" t="n"/>
      <c r="B52" s="26" t="n"/>
      <c r="C52" s="24" t="n"/>
      <c r="D52" s="20">
        <f>IF($A52="","",SUMIFS('Gift Tracker'!$D$5:$D$304,'Gift Tracker'!$A$5:$A$304,$A52))</f>
        <v/>
      </c>
      <c r="E52" s="20">
        <f>IF($A52="","",SUMIFS('Gift Tracker'!$D$5:$D$304,'Gift Tracker'!$A$5:$A$304,$A52,'Gift Tracker'!$E$5:$E$304,"Yes"))</f>
        <v/>
      </c>
      <c r="F52" s="20">
        <f>IF(OR($A52="",C52=""),"",C52-E52)</f>
        <v/>
      </c>
      <c r="G52" s="33">
        <f>IF($A52="","",COUNTIF('Gift Tracker'!$A$5:$A$304,$A52))</f>
        <v/>
      </c>
      <c r="H52" s="33">
        <f>IF($A52="","",COUNTIFS('Gift Tracker'!$A$5:$A$304,$A52,'Gift Tracker'!$E$5:$E$304,"Yes"))</f>
        <v/>
      </c>
      <c r="I52" s="33">
        <f>IF($A52="","",COUNTIFS('Gift Tracker'!$A$5:$A$304,$A52,'Gift Tracker'!$F$5:$F$304,"Yes"))</f>
        <v/>
      </c>
      <c r="J52" s="33">
        <f>IF($A52="","",COUNTIFS('Gift Tracker'!$A$5:$A$304,$A52,'Gift Tracker'!$G$5:$G$304,"Yes"))</f>
        <v/>
      </c>
      <c r="K52" s="19">
        <f>IF($A52="","",IF(G52=0,"No gift yet",IF(AND(C52&lt;&gt;"",E52&gt;C52),"Over budget",IF(AND(C52&lt;&gt;"",D52&gt;C52,J52&lt;G52),"Plan over budget",IF(J52=G52,"All given ✓",IF(H52&lt;G52,"Shopping",IF(I52&lt;G52,"To wrap","Ready to give")))))))</f>
        <v/>
      </c>
    </row>
    <row r="53">
      <c r="A53" s="26" t="n"/>
      <c r="B53" s="26" t="n"/>
      <c r="C53" s="24" t="n"/>
      <c r="D53" s="20">
        <f>IF($A53="","",SUMIFS('Gift Tracker'!$D$5:$D$304,'Gift Tracker'!$A$5:$A$304,$A53))</f>
        <v/>
      </c>
      <c r="E53" s="20">
        <f>IF($A53="","",SUMIFS('Gift Tracker'!$D$5:$D$304,'Gift Tracker'!$A$5:$A$304,$A53,'Gift Tracker'!$E$5:$E$304,"Yes"))</f>
        <v/>
      </c>
      <c r="F53" s="20">
        <f>IF(OR($A53="",C53=""),"",C53-E53)</f>
        <v/>
      </c>
      <c r="G53" s="33">
        <f>IF($A53="","",COUNTIF('Gift Tracker'!$A$5:$A$304,$A53))</f>
        <v/>
      </c>
      <c r="H53" s="33">
        <f>IF($A53="","",COUNTIFS('Gift Tracker'!$A$5:$A$304,$A53,'Gift Tracker'!$E$5:$E$304,"Yes"))</f>
        <v/>
      </c>
      <c r="I53" s="33">
        <f>IF($A53="","",COUNTIFS('Gift Tracker'!$A$5:$A$304,$A53,'Gift Tracker'!$F$5:$F$304,"Yes"))</f>
        <v/>
      </c>
      <c r="J53" s="33">
        <f>IF($A53="","",COUNTIFS('Gift Tracker'!$A$5:$A$304,$A53,'Gift Tracker'!$G$5:$G$304,"Yes"))</f>
        <v/>
      </c>
      <c r="K53" s="19">
        <f>IF($A53="","",IF(G53=0,"No gift yet",IF(AND(C53&lt;&gt;"",E53&gt;C53),"Over budget",IF(AND(C53&lt;&gt;"",D53&gt;C53,J53&lt;G53),"Plan over budget",IF(J53=G53,"All given ✓",IF(H53&lt;G53,"Shopping",IF(I53&lt;G53,"To wrap","Ready to give")))))))</f>
        <v/>
      </c>
    </row>
    <row r="54">
      <c r="A54" s="26" t="n"/>
      <c r="B54" s="26" t="n"/>
      <c r="C54" s="24" t="n"/>
      <c r="D54" s="20">
        <f>IF($A54="","",SUMIFS('Gift Tracker'!$D$5:$D$304,'Gift Tracker'!$A$5:$A$304,$A54))</f>
        <v/>
      </c>
      <c r="E54" s="20">
        <f>IF($A54="","",SUMIFS('Gift Tracker'!$D$5:$D$304,'Gift Tracker'!$A$5:$A$304,$A54,'Gift Tracker'!$E$5:$E$304,"Yes"))</f>
        <v/>
      </c>
      <c r="F54" s="20">
        <f>IF(OR($A54="",C54=""),"",C54-E54)</f>
        <v/>
      </c>
      <c r="G54" s="33">
        <f>IF($A54="","",COUNTIF('Gift Tracker'!$A$5:$A$304,$A54))</f>
        <v/>
      </c>
      <c r="H54" s="33">
        <f>IF($A54="","",COUNTIFS('Gift Tracker'!$A$5:$A$304,$A54,'Gift Tracker'!$E$5:$E$304,"Yes"))</f>
        <v/>
      </c>
      <c r="I54" s="33">
        <f>IF($A54="","",COUNTIFS('Gift Tracker'!$A$5:$A$304,$A54,'Gift Tracker'!$F$5:$F$304,"Yes"))</f>
        <v/>
      </c>
      <c r="J54" s="33">
        <f>IF($A54="","",COUNTIFS('Gift Tracker'!$A$5:$A$304,$A54,'Gift Tracker'!$G$5:$G$304,"Yes"))</f>
        <v/>
      </c>
      <c r="K54" s="19">
        <f>IF($A54="","",IF(G54=0,"No gift yet",IF(AND(C54&lt;&gt;"",E54&gt;C54),"Over budget",IF(AND(C54&lt;&gt;"",D54&gt;C54,J54&lt;G54),"Plan over budget",IF(J54=G54,"All given ✓",IF(H54&lt;G54,"Shopping",IF(I54&lt;G54,"To wrap","Ready to give")))))))</f>
        <v/>
      </c>
    </row>
    <row r="55">
      <c r="A55" s="26" t="n"/>
      <c r="B55" s="26" t="n"/>
      <c r="C55" s="24" t="n"/>
      <c r="D55" s="20">
        <f>IF($A55="","",SUMIFS('Gift Tracker'!$D$5:$D$304,'Gift Tracker'!$A$5:$A$304,$A55))</f>
        <v/>
      </c>
      <c r="E55" s="20">
        <f>IF($A55="","",SUMIFS('Gift Tracker'!$D$5:$D$304,'Gift Tracker'!$A$5:$A$304,$A55,'Gift Tracker'!$E$5:$E$304,"Yes"))</f>
        <v/>
      </c>
      <c r="F55" s="20">
        <f>IF(OR($A55="",C55=""),"",C55-E55)</f>
        <v/>
      </c>
      <c r="G55" s="33">
        <f>IF($A55="","",COUNTIF('Gift Tracker'!$A$5:$A$304,$A55))</f>
        <v/>
      </c>
      <c r="H55" s="33">
        <f>IF($A55="","",COUNTIFS('Gift Tracker'!$A$5:$A$304,$A55,'Gift Tracker'!$E$5:$E$304,"Yes"))</f>
        <v/>
      </c>
      <c r="I55" s="33">
        <f>IF($A55="","",COUNTIFS('Gift Tracker'!$A$5:$A$304,$A55,'Gift Tracker'!$F$5:$F$304,"Yes"))</f>
        <v/>
      </c>
      <c r="J55" s="33">
        <f>IF($A55="","",COUNTIFS('Gift Tracker'!$A$5:$A$304,$A55,'Gift Tracker'!$G$5:$G$304,"Yes"))</f>
        <v/>
      </c>
      <c r="K55" s="19">
        <f>IF($A55="","",IF(G55=0,"No gift yet",IF(AND(C55&lt;&gt;"",E55&gt;C55),"Over budget",IF(AND(C55&lt;&gt;"",D55&gt;C55,J55&lt;G55),"Plan over budget",IF(J55=G55,"All given ✓",IF(H55&lt;G55,"Shopping",IF(I55&lt;G55,"To wrap","Ready to give")))))))</f>
        <v/>
      </c>
    </row>
    <row r="57">
      <c r="A57" s="29" t="inlineStr">
        <is>
          <t>TOTAL</t>
        </is>
      </c>
      <c r="B57" s="29">
        <f>COUNTA(A6:A55)&amp;" people"</f>
        <v/>
      </c>
      <c r="C57" s="34">
        <f>SUM(C6:C55)</f>
        <v/>
      </c>
      <c r="D57" s="34">
        <f>SUM(D6:D55)</f>
        <v/>
      </c>
      <c r="E57" s="34">
        <f>SUM(E6:E55)</f>
        <v/>
      </c>
      <c r="F57" s="34">
        <f>SUM(F6:F55)</f>
        <v/>
      </c>
      <c r="G57" s="35">
        <f>SUM(G6:G55)</f>
        <v/>
      </c>
      <c r="H57" s="35">
        <f>SUM(H6:H55)</f>
        <v/>
      </c>
      <c r="I57" s="35">
        <f>SUM(I6:I55)</f>
        <v/>
      </c>
      <c r="J57" s="35">
        <f>SUM(J6:J55)</f>
        <v/>
      </c>
      <c r="K57" s="36" t="n"/>
    </row>
  </sheetData>
  <mergeCells count="2">
    <mergeCell ref="A2:K2"/>
    <mergeCell ref="A1:K1"/>
  </mergeCells>
  <conditionalFormatting sqref="F6:F57">
    <cfRule type="expression" priority="1" dxfId="0">
      <formula>AND(ISNUMBER(F6),F6&lt;0)</formula>
    </cfRule>
  </conditionalFormatting>
  <conditionalFormatting sqref="K6:K55">
    <cfRule type="expression" priority="2" dxfId="0">
      <formula>ISNUMBER(SEARCH("over budget",K6))</formula>
    </cfRule>
    <cfRule type="expression" priority="3" dxfId="2">
      <formula>K6="All given ✓"</formula>
    </cfRule>
  </conditionalFormatting>
  <dataValidations count="1">
    <dataValidation sqref="B6:B55" showDropDown="0" showInputMessage="0" showErrorMessage="0" allowBlank="1" type="list">
      <formula1>"Family,Friends,Kids,Work,School,Neighbors,Other"</formula1>
    </dataValidation>
  </dataValidations>
  <printOptions horizontalCentered="1"/>
  <pageMargins left="0.4" right="0.4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5D50"/>
    <outlinePr summaryBelow="1" summaryRight="1"/>
    <pageSetUpPr fitToPage="1"/>
  </sheetPr>
  <dimension ref="A1:H3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12" customWidth="1" min="4" max="4"/>
    <col width="10" customWidth="1" min="5" max="5"/>
    <col width="10" customWidth="1" min="6" max="6"/>
    <col width="10" customWidth="1" min="7" max="7"/>
    <col width="26" customWidth="1" min="8" max="8"/>
  </cols>
  <sheetData>
    <row r="1" ht="38" customHeight="1">
      <c r="A1" s="1" t="inlineStr">
        <is>
          <t>Gift Tracker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One row per gift. Pick the person, add the price, then mark Bought, Wrapped and Given.</t>
        </is>
      </c>
      <c r="B2" s="2" t="n"/>
      <c r="C2" s="2" t="n"/>
      <c r="D2" s="2" t="n"/>
      <c r="E2" s="2" t="n"/>
      <c r="F2" s="2" t="n"/>
      <c r="G2" s="2" t="n"/>
      <c r="H2" s="2" t="n"/>
    </row>
    <row r="3" ht="8" customHeight="1"/>
    <row r="4" ht="30" customHeight="1">
      <c r="A4" s="22" t="inlineStr">
        <is>
          <t>Person</t>
        </is>
      </c>
      <c r="B4" s="22" t="inlineStr">
        <is>
          <t>Gift</t>
        </is>
      </c>
      <c r="C4" s="22" t="inlineStr">
        <is>
          <t>Store / link</t>
        </is>
      </c>
      <c r="D4" s="22" t="inlineStr">
        <is>
          <t>Price</t>
        </is>
      </c>
      <c r="E4" s="22" t="inlineStr">
        <is>
          <t>Bought?</t>
        </is>
      </c>
      <c r="F4" s="22" t="inlineStr">
        <is>
          <t>Wrapped?</t>
        </is>
      </c>
      <c r="G4" s="22" t="inlineStr">
        <is>
          <t>Given?</t>
        </is>
      </c>
      <c r="H4" s="22" t="inlineStr">
        <is>
          <t>Notes / order #</t>
        </is>
      </c>
    </row>
    <row r="5">
      <c r="A5" s="26" t="inlineStr">
        <is>
          <t>Mom</t>
        </is>
      </c>
      <c r="B5" s="26" t="inlineStr">
        <is>
          <t>Cozy cardigan</t>
        </is>
      </c>
      <c r="C5" s="26" t="inlineStr">
        <is>
          <t>Department store</t>
        </is>
      </c>
      <c r="D5" s="24" t="n">
        <v>54</v>
      </c>
      <c r="E5" s="37" t="inlineStr">
        <is>
          <t>Yes</t>
        </is>
      </c>
      <c r="F5" s="37" t="inlineStr">
        <is>
          <t>Yes</t>
        </is>
      </c>
      <c r="G5" s="37" t="n"/>
      <c r="H5" s="26" t="n"/>
    </row>
    <row r="6">
      <c r="A6" s="26" t="inlineStr">
        <is>
          <t>Mom</t>
        </is>
      </c>
      <c r="B6" s="26" t="inlineStr">
        <is>
          <t>Cookbook</t>
        </is>
      </c>
      <c r="C6" s="26" t="inlineStr">
        <is>
          <t>Bookshop</t>
        </is>
      </c>
      <c r="D6" s="24" t="n">
        <v>28.5</v>
      </c>
      <c r="E6" s="37" t="inlineStr">
        <is>
          <t>Yes</t>
        </is>
      </c>
      <c r="F6" s="37" t="inlineStr">
        <is>
          <t>No</t>
        </is>
      </c>
      <c r="G6" s="37" t="n"/>
      <c r="H6" s="26" t="n"/>
    </row>
    <row r="7">
      <c r="A7" s="26" t="inlineStr">
        <is>
          <t>Mom</t>
        </is>
      </c>
      <c r="B7" s="26" t="inlineStr">
        <is>
          <t>Hand cream set</t>
        </is>
      </c>
      <c r="C7" s="26" t="inlineStr">
        <is>
          <t>Pharmacy</t>
        </is>
      </c>
      <c r="D7" s="24" t="n">
        <v>18</v>
      </c>
      <c r="E7" s="37" t="inlineStr">
        <is>
          <t>No</t>
        </is>
      </c>
      <c r="F7" s="37" t="inlineStr">
        <is>
          <t>No</t>
        </is>
      </c>
      <c r="G7" s="37" t="n"/>
      <c r="H7" s="26" t="n"/>
    </row>
    <row r="8">
      <c r="A8" s="26" t="inlineStr">
        <is>
          <t>Dad</t>
        </is>
      </c>
      <c r="B8" s="26" t="inlineStr">
        <is>
          <t>Coffee grinder</t>
        </is>
      </c>
      <c r="C8" s="26" t="inlineStr">
        <is>
          <t>Online</t>
        </is>
      </c>
      <c r="D8" s="24" t="n">
        <v>69.98999999999999</v>
      </c>
      <c r="E8" s="37" t="inlineStr">
        <is>
          <t>Yes</t>
        </is>
      </c>
      <c r="F8" s="37" t="inlineStr">
        <is>
          <t>Yes</t>
        </is>
      </c>
      <c r="G8" s="37" t="n"/>
      <c r="H8" s="26" t="n"/>
    </row>
    <row r="9">
      <c r="A9" s="26" t="inlineStr">
        <is>
          <t>Dad</t>
        </is>
      </c>
      <c r="B9" s="26" t="inlineStr">
        <is>
          <t>Wool socks</t>
        </is>
      </c>
      <c r="C9" s="26" t="inlineStr">
        <is>
          <t>Outdoor shop</t>
        </is>
      </c>
      <c r="D9" s="24" t="n">
        <v>16</v>
      </c>
      <c r="E9" s="37" t="inlineStr">
        <is>
          <t>Yes</t>
        </is>
      </c>
      <c r="F9" s="37" t="inlineStr">
        <is>
          <t>Yes</t>
        </is>
      </c>
      <c r="G9" s="37" t="n"/>
      <c r="H9" s="26" t="n"/>
    </row>
    <row r="10">
      <c r="A10" s="26" t="inlineStr">
        <is>
          <t>Dad</t>
        </is>
      </c>
      <c r="B10" s="26" t="inlineStr">
        <is>
          <t>Puzzle, 1000 pieces</t>
        </is>
      </c>
      <c r="C10" s="26" t="inlineStr">
        <is>
          <t>Toy store</t>
        </is>
      </c>
      <c r="D10" s="24" t="n">
        <v>22</v>
      </c>
      <c r="E10" s="37" t="inlineStr">
        <is>
          <t>No</t>
        </is>
      </c>
      <c r="F10" s="37" t="inlineStr">
        <is>
          <t>No</t>
        </is>
      </c>
      <c r="G10" s="37" t="n"/>
      <c r="H10" s="26" t="n"/>
    </row>
    <row r="11">
      <c r="A11" s="26" t="inlineStr">
        <is>
          <t>Emma</t>
        </is>
      </c>
      <c r="B11" s="26" t="inlineStr">
        <is>
          <t>Art set</t>
        </is>
      </c>
      <c r="C11" s="26" t="inlineStr">
        <is>
          <t>Craft store</t>
        </is>
      </c>
      <c r="D11" s="24" t="n">
        <v>34.99</v>
      </c>
      <c r="E11" s="37" t="inlineStr">
        <is>
          <t>Yes</t>
        </is>
      </c>
      <c r="F11" s="37" t="inlineStr">
        <is>
          <t>Yes</t>
        </is>
      </c>
      <c r="G11" s="37" t="n"/>
      <c r="H11" s="26" t="n"/>
    </row>
    <row r="12">
      <c r="A12" s="26" t="inlineStr">
        <is>
          <t>Emma</t>
        </is>
      </c>
      <c r="B12" s="26" t="inlineStr">
        <is>
          <t>Ice skates</t>
        </is>
      </c>
      <c r="C12" s="26" t="inlineStr">
        <is>
          <t>Sports store</t>
        </is>
      </c>
      <c r="D12" s="24" t="n">
        <v>79</v>
      </c>
      <c r="E12" s="37" t="inlineStr">
        <is>
          <t>Yes</t>
        </is>
      </c>
      <c r="F12" s="37" t="inlineStr">
        <is>
          <t>No</t>
        </is>
      </c>
      <c r="G12" s="37" t="n"/>
      <c r="H12" s="26" t="inlineStr">
        <is>
          <t>Order #48213, arrives Dec 9</t>
        </is>
      </c>
    </row>
    <row r="13">
      <c r="A13" s="26" t="inlineStr">
        <is>
          <t>Emma</t>
        </is>
      </c>
      <c r="B13" s="26" t="inlineStr">
        <is>
          <t>Chapter book series</t>
        </is>
      </c>
      <c r="C13" s="26" t="inlineStr">
        <is>
          <t>Bookshop</t>
        </is>
      </c>
      <c r="D13" s="24" t="n">
        <v>24</v>
      </c>
      <c r="E13" s="37" t="inlineStr">
        <is>
          <t>No</t>
        </is>
      </c>
      <c r="F13" s="37" t="inlineStr">
        <is>
          <t>No</t>
        </is>
      </c>
      <c r="G13" s="37" t="n"/>
      <c r="H13" s="26" t="n"/>
    </row>
    <row r="14">
      <c r="A14" s="26" t="inlineStr">
        <is>
          <t>Emma</t>
        </is>
      </c>
      <c r="B14" s="26" t="inlineStr">
        <is>
          <t>Pajamas</t>
        </is>
      </c>
      <c r="C14" s="26" t="inlineStr">
        <is>
          <t>Online</t>
        </is>
      </c>
      <c r="D14" s="24" t="n">
        <v>19.5</v>
      </c>
      <c r="E14" s="37" t="inlineStr">
        <is>
          <t>Yes</t>
        </is>
      </c>
      <c r="F14" s="37" t="inlineStr">
        <is>
          <t>Yes</t>
        </is>
      </c>
      <c r="G14" s="37" t="n"/>
      <c r="H14" s="26" t="n"/>
    </row>
    <row r="15">
      <c r="A15" s="26" t="inlineStr">
        <is>
          <t>Leo</t>
        </is>
      </c>
      <c r="B15" s="26" t="inlineStr">
        <is>
          <t>Building blocks set</t>
        </is>
      </c>
      <c r="C15" s="26" t="inlineStr">
        <is>
          <t>Toy store</t>
        </is>
      </c>
      <c r="D15" s="24" t="n">
        <v>59.99</v>
      </c>
      <c r="E15" s="37" t="inlineStr">
        <is>
          <t>Yes</t>
        </is>
      </c>
      <c r="F15" s="37" t="inlineStr">
        <is>
          <t>Yes</t>
        </is>
      </c>
      <c r="G15" s="37" t="n"/>
      <c r="H15" s="26" t="n"/>
    </row>
    <row r="16">
      <c r="A16" s="26" t="inlineStr">
        <is>
          <t>Leo</t>
        </is>
      </c>
      <c r="B16" s="26" t="inlineStr">
        <is>
          <t>Rain boots</t>
        </is>
      </c>
      <c r="C16" s="26" t="inlineStr">
        <is>
          <t>Shoe store</t>
        </is>
      </c>
      <c r="D16" s="24" t="n">
        <v>32</v>
      </c>
      <c r="E16" s="37" t="inlineStr">
        <is>
          <t>Yes</t>
        </is>
      </c>
      <c r="F16" s="37" t="inlineStr">
        <is>
          <t>No</t>
        </is>
      </c>
      <c r="G16" s="37" t="n"/>
      <c r="H16" s="26" t="n"/>
    </row>
    <row r="17">
      <c r="A17" s="26" t="inlineStr">
        <is>
          <t>Leo</t>
        </is>
      </c>
      <c r="B17" s="26" t="inlineStr">
        <is>
          <t>Picture books (2)</t>
        </is>
      </c>
      <c r="C17" s="26" t="inlineStr">
        <is>
          <t>Bookshop</t>
        </is>
      </c>
      <c r="D17" s="24" t="n">
        <v>21</v>
      </c>
      <c r="E17" s="37" t="inlineStr">
        <is>
          <t>Yes</t>
        </is>
      </c>
      <c r="F17" s="37" t="inlineStr">
        <is>
          <t>Yes</t>
        </is>
      </c>
      <c r="G17" s="37" t="n"/>
      <c r="H17" s="26" t="n"/>
    </row>
    <row r="18">
      <c r="A18" s="26" t="inlineStr">
        <is>
          <t>Leo</t>
        </is>
      </c>
      <c r="B18" s="26" t="inlineStr">
        <is>
          <t>Remote-control car</t>
        </is>
      </c>
      <c r="C18" s="26" t="inlineStr">
        <is>
          <t>Online</t>
        </is>
      </c>
      <c r="D18" s="24" t="n">
        <v>44</v>
      </c>
      <c r="E18" s="37" t="inlineStr">
        <is>
          <t>Yes</t>
        </is>
      </c>
      <c r="F18" s="37" t="inlineStr">
        <is>
          <t>No</t>
        </is>
      </c>
      <c r="G18" s="37" t="n"/>
      <c r="H18" s="26" t="inlineStr">
        <is>
          <t>Hide in garage</t>
        </is>
      </c>
    </row>
    <row r="19">
      <c r="A19" s="26" t="inlineStr">
        <is>
          <t>Grandma Jo</t>
        </is>
      </c>
      <c r="B19" s="26" t="inlineStr">
        <is>
          <t>Photo calendar</t>
        </is>
      </c>
      <c r="C19" s="26" t="inlineStr">
        <is>
          <t>Print shop</t>
        </is>
      </c>
      <c r="D19" s="24" t="n">
        <v>29</v>
      </c>
      <c r="E19" s="37" t="inlineStr">
        <is>
          <t>Yes</t>
        </is>
      </c>
      <c r="F19" s="37" t="inlineStr">
        <is>
          <t>Yes</t>
        </is>
      </c>
      <c r="G19" s="37" t="n"/>
      <c r="H19" s="26" t="n"/>
    </row>
    <row r="20">
      <c r="A20" s="26" t="inlineStr">
        <is>
          <t>Grandma Jo</t>
        </is>
      </c>
      <c r="B20" s="26" t="inlineStr">
        <is>
          <t>Tea sampler</t>
        </is>
      </c>
      <c r="C20" s="26" t="inlineStr">
        <is>
          <t>Tea shop</t>
        </is>
      </c>
      <c r="D20" s="24" t="n">
        <v>24</v>
      </c>
      <c r="E20" s="37" t="inlineStr">
        <is>
          <t>Yes</t>
        </is>
      </c>
      <c r="F20" s="37" t="inlineStr">
        <is>
          <t>Yes</t>
        </is>
      </c>
      <c r="G20" s="37" t="n"/>
      <c r="H20" s="26" t="n"/>
    </row>
    <row r="21">
      <c r="A21" s="26" t="inlineStr">
        <is>
          <t>Grandma Jo</t>
        </is>
      </c>
      <c r="B21" s="26" t="inlineStr">
        <is>
          <t>Scarf</t>
        </is>
      </c>
      <c r="C21" s="26" t="inlineStr">
        <is>
          <t>Market</t>
        </is>
      </c>
      <c r="D21" s="24" t="n">
        <v>22</v>
      </c>
      <c r="E21" s="37" t="inlineStr">
        <is>
          <t>Yes</t>
        </is>
      </c>
      <c r="F21" s="37" t="inlineStr">
        <is>
          <t>No</t>
        </is>
      </c>
      <c r="G21" s="37" t="n"/>
      <c r="H21" s="26" t="n"/>
    </row>
    <row r="22">
      <c r="A22" s="26" t="inlineStr">
        <is>
          <t>Aunt Sara</t>
        </is>
      </c>
      <c r="B22" s="26" t="inlineStr">
        <is>
          <t>Candle</t>
        </is>
      </c>
      <c r="C22" s="26" t="inlineStr">
        <is>
          <t>Gift shop</t>
        </is>
      </c>
      <c r="D22" s="24" t="n">
        <v>26</v>
      </c>
      <c r="E22" s="37" t="inlineStr">
        <is>
          <t>Yes</t>
        </is>
      </c>
      <c r="F22" s="37" t="inlineStr">
        <is>
          <t>Yes</t>
        </is>
      </c>
      <c r="G22" s="37" t="n"/>
      <c r="H22" s="26" t="n"/>
    </row>
    <row r="23">
      <c r="A23" s="26" t="inlineStr">
        <is>
          <t>Sam (Secret Santa)</t>
        </is>
      </c>
      <c r="B23" s="26" t="inlineStr">
        <is>
          <t>Desk plant</t>
        </is>
      </c>
      <c r="C23" s="26" t="inlineStr">
        <is>
          <t>Garden center</t>
        </is>
      </c>
      <c r="D23" s="24" t="n">
        <v>22</v>
      </c>
      <c r="E23" s="37" t="inlineStr">
        <is>
          <t>Yes</t>
        </is>
      </c>
      <c r="F23" s="37" t="inlineStr">
        <is>
          <t>Yes</t>
        </is>
      </c>
      <c r="G23" s="37" t="inlineStr">
        <is>
          <t>Yes</t>
        </is>
      </c>
      <c r="H23" s="26" t="inlineStr">
        <is>
          <t>Limit $25</t>
        </is>
      </c>
    </row>
    <row r="24">
      <c r="A24" s="26" t="inlineStr">
        <is>
          <t>Ms. Rivera (teacher)</t>
        </is>
      </c>
      <c r="B24" s="26" t="inlineStr">
        <is>
          <t>Gift card + card from Leo</t>
        </is>
      </c>
      <c r="C24" s="26" t="inlineStr">
        <is>
          <t>Coffee shop</t>
        </is>
      </c>
      <c r="D24" s="24" t="n">
        <v>20</v>
      </c>
      <c r="E24" s="37" t="inlineStr">
        <is>
          <t>Yes</t>
        </is>
      </c>
      <c r="F24" s="37" t="inlineStr">
        <is>
          <t>Yes</t>
        </is>
      </c>
      <c r="G24" s="37" t="inlineStr">
        <is>
          <t>Yes</t>
        </is>
      </c>
      <c r="H24" s="26" t="n"/>
    </row>
    <row r="25">
      <c r="A25" s="26" t="inlineStr">
        <is>
          <t>Neighbors</t>
        </is>
      </c>
      <c r="B25" s="26" t="inlineStr">
        <is>
          <t>Homemade cookie tins (3)</t>
        </is>
      </c>
      <c r="C25" s="26" t="inlineStr">
        <is>
          <t>Baking</t>
        </is>
      </c>
      <c r="D25" s="24" t="n">
        <v>18</v>
      </c>
      <c r="E25" s="37" t="inlineStr">
        <is>
          <t>Yes</t>
        </is>
      </c>
      <c r="F25" s="37" t="inlineStr">
        <is>
          <t>No</t>
        </is>
      </c>
      <c r="G25" s="37" t="n"/>
      <c r="H25" s="26" t="n"/>
    </row>
    <row r="26">
      <c r="A26" s="26" t="inlineStr">
        <is>
          <t>Best friend Kim</t>
        </is>
      </c>
      <c r="B26" s="26" t="inlineStr">
        <is>
          <t>Concert tickets (half)</t>
        </is>
      </c>
      <c r="C26" s="26" t="inlineStr">
        <is>
          <t>Online</t>
        </is>
      </c>
      <c r="D26" s="24" t="n">
        <v>45</v>
      </c>
      <c r="E26" s="37" t="inlineStr">
        <is>
          <t>Yes</t>
        </is>
      </c>
      <c r="F26" s="37" t="inlineStr">
        <is>
          <t>Yes</t>
        </is>
      </c>
      <c r="G26" s="37" t="n"/>
      <c r="H26" s="26" t="n"/>
    </row>
    <row r="27">
      <c r="A27" s="26" t="inlineStr">
        <is>
          <t>Best friend Kim</t>
        </is>
      </c>
      <c r="B27" s="26" t="inlineStr">
        <is>
          <t>Card game</t>
        </is>
      </c>
      <c r="C27" s="26" t="inlineStr">
        <is>
          <t>Game shop</t>
        </is>
      </c>
      <c r="D27" s="24" t="n">
        <v>15</v>
      </c>
      <c r="E27" s="37" t="inlineStr">
        <is>
          <t>No</t>
        </is>
      </c>
      <c r="F27" s="37" t="inlineStr">
        <is>
          <t>No</t>
        </is>
      </c>
      <c r="G27" s="37" t="n"/>
      <c r="H27" s="26" t="n"/>
    </row>
    <row r="28">
      <c r="A28" s="26" t="n"/>
      <c r="B28" s="26" t="n"/>
      <c r="C28" s="26" t="n"/>
      <c r="D28" s="24" t="n"/>
      <c r="E28" s="37" t="n"/>
      <c r="F28" s="37" t="n"/>
      <c r="G28" s="37" t="n"/>
      <c r="H28" s="26" t="n"/>
    </row>
    <row r="29">
      <c r="A29" s="26" t="n"/>
      <c r="B29" s="26" t="n"/>
      <c r="C29" s="26" t="n"/>
      <c r="D29" s="24" t="n"/>
      <c r="E29" s="37" t="n"/>
      <c r="F29" s="37" t="n"/>
      <c r="G29" s="37" t="n"/>
      <c r="H29" s="26" t="n"/>
    </row>
    <row r="30">
      <c r="A30" s="26" t="n"/>
      <c r="B30" s="26" t="n"/>
      <c r="C30" s="26" t="n"/>
      <c r="D30" s="24" t="n"/>
      <c r="E30" s="37" t="n"/>
      <c r="F30" s="37" t="n"/>
      <c r="G30" s="37" t="n"/>
      <c r="H30" s="26" t="n"/>
    </row>
    <row r="31">
      <c r="A31" s="26" t="n"/>
      <c r="B31" s="26" t="n"/>
      <c r="C31" s="26" t="n"/>
      <c r="D31" s="24" t="n"/>
      <c r="E31" s="37" t="n"/>
      <c r="F31" s="37" t="n"/>
      <c r="G31" s="37" t="n"/>
      <c r="H31" s="26" t="n"/>
    </row>
    <row r="32">
      <c r="A32" s="26" t="n"/>
      <c r="B32" s="26" t="n"/>
      <c r="C32" s="26" t="n"/>
      <c r="D32" s="24" t="n"/>
      <c r="E32" s="37" t="n"/>
      <c r="F32" s="37" t="n"/>
      <c r="G32" s="37" t="n"/>
      <c r="H32" s="26" t="n"/>
    </row>
    <row r="33">
      <c r="A33" s="26" t="n"/>
      <c r="B33" s="26" t="n"/>
      <c r="C33" s="26" t="n"/>
      <c r="D33" s="24" t="n"/>
      <c r="E33" s="37" t="n"/>
      <c r="F33" s="37" t="n"/>
      <c r="G33" s="37" t="n"/>
      <c r="H33" s="26" t="n"/>
    </row>
    <row r="34">
      <c r="A34" s="26" t="n"/>
      <c r="B34" s="26" t="n"/>
      <c r="C34" s="26" t="n"/>
      <c r="D34" s="24" t="n"/>
      <c r="E34" s="37" t="n"/>
      <c r="F34" s="37" t="n"/>
      <c r="G34" s="37" t="n"/>
      <c r="H34" s="26" t="n"/>
    </row>
    <row r="35">
      <c r="A35" s="26" t="n"/>
      <c r="B35" s="26" t="n"/>
      <c r="C35" s="26" t="n"/>
      <c r="D35" s="24" t="n"/>
      <c r="E35" s="37" t="n"/>
      <c r="F35" s="37" t="n"/>
      <c r="G35" s="37" t="n"/>
      <c r="H35" s="26" t="n"/>
    </row>
    <row r="36">
      <c r="A36" s="26" t="n"/>
      <c r="B36" s="26" t="n"/>
      <c r="C36" s="26" t="n"/>
      <c r="D36" s="24" t="n"/>
      <c r="E36" s="37" t="n"/>
      <c r="F36" s="37" t="n"/>
      <c r="G36" s="37" t="n"/>
      <c r="H36" s="26" t="n"/>
    </row>
    <row r="37">
      <c r="A37" s="26" t="n"/>
      <c r="B37" s="26" t="n"/>
      <c r="C37" s="26" t="n"/>
      <c r="D37" s="24" t="n"/>
      <c r="E37" s="37" t="n"/>
      <c r="F37" s="37" t="n"/>
      <c r="G37" s="37" t="n"/>
      <c r="H37" s="26" t="n"/>
    </row>
    <row r="38">
      <c r="A38" s="26" t="n"/>
      <c r="B38" s="26" t="n"/>
      <c r="C38" s="26" t="n"/>
      <c r="D38" s="24" t="n"/>
      <c r="E38" s="37" t="n"/>
      <c r="F38" s="37" t="n"/>
      <c r="G38" s="37" t="n"/>
      <c r="H38" s="26" t="n"/>
    </row>
    <row r="39">
      <c r="A39" s="26" t="n"/>
      <c r="B39" s="26" t="n"/>
      <c r="C39" s="26" t="n"/>
      <c r="D39" s="24" t="n"/>
      <c r="E39" s="37" t="n"/>
      <c r="F39" s="37" t="n"/>
      <c r="G39" s="37" t="n"/>
      <c r="H39" s="26" t="n"/>
    </row>
    <row r="40">
      <c r="A40" s="26" t="n"/>
      <c r="B40" s="26" t="n"/>
      <c r="C40" s="26" t="n"/>
      <c r="D40" s="24" t="n"/>
      <c r="E40" s="37" t="n"/>
      <c r="F40" s="37" t="n"/>
      <c r="G40" s="37" t="n"/>
      <c r="H40" s="26" t="n"/>
    </row>
    <row r="41">
      <c r="A41" s="26" t="n"/>
      <c r="B41" s="26" t="n"/>
      <c r="C41" s="26" t="n"/>
      <c r="D41" s="24" t="n"/>
      <c r="E41" s="37" t="n"/>
      <c r="F41" s="37" t="n"/>
      <c r="G41" s="37" t="n"/>
      <c r="H41" s="26" t="n"/>
    </row>
    <row r="42">
      <c r="A42" s="26" t="n"/>
      <c r="B42" s="26" t="n"/>
      <c r="C42" s="26" t="n"/>
      <c r="D42" s="24" t="n"/>
      <c r="E42" s="37" t="n"/>
      <c r="F42" s="37" t="n"/>
      <c r="G42" s="37" t="n"/>
      <c r="H42" s="26" t="n"/>
    </row>
    <row r="43">
      <c r="A43" s="26" t="n"/>
      <c r="B43" s="26" t="n"/>
      <c r="C43" s="26" t="n"/>
      <c r="D43" s="24" t="n"/>
      <c r="E43" s="37" t="n"/>
      <c r="F43" s="37" t="n"/>
      <c r="G43" s="37" t="n"/>
      <c r="H43" s="26" t="n"/>
    </row>
    <row r="44">
      <c r="A44" s="26" t="n"/>
      <c r="B44" s="26" t="n"/>
      <c r="C44" s="26" t="n"/>
      <c r="D44" s="24" t="n"/>
      <c r="E44" s="37" t="n"/>
      <c r="F44" s="37" t="n"/>
      <c r="G44" s="37" t="n"/>
      <c r="H44" s="26" t="n"/>
    </row>
    <row r="45">
      <c r="A45" s="26" t="n"/>
      <c r="B45" s="26" t="n"/>
      <c r="C45" s="26" t="n"/>
      <c r="D45" s="24" t="n"/>
      <c r="E45" s="37" t="n"/>
      <c r="F45" s="37" t="n"/>
      <c r="G45" s="37" t="n"/>
      <c r="H45" s="26" t="n"/>
    </row>
    <row r="46">
      <c r="A46" s="26" t="n"/>
      <c r="B46" s="26" t="n"/>
      <c r="C46" s="26" t="n"/>
      <c r="D46" s="24" t="n"/>
      <c r="E46" s="37" t="n"/>
      <c r="F46" s="37" t="n"/>
      <c r="G46" s="37" t="n"/>
      <c r="H46" s="26" t="n"/>
    </row>
    <row r="47">
      <c r="A47" s="26" t="n"/>
      <c r="B47" s="26" t="n"/>
      <c r="C47" s="26" t="n"/>
      <c r="D47" s="24" t="n"/>
      <c r="E47" s="37" t="n"/>
      <c r="F47" s="37" t="n"/>
      <c r="G47" s="37" t="n"/>
      <c r="H47" s="26" t="n"/>
    </row>
    <row r="48">
      <c r="A48" s="26" t="n"/>
      <c r="B48" s="26" t="n"/>
      <c r="C48" s="26" t="n"/>
      <c r="D48" s="24" t="n"/>
      <c r="E48" s="37" t="n"/>
      <c r="F48" s="37" t="n"/>
      <c r="G48" s="37" t="n"/>
      <c r="H48" s="26" t="n"/>
    </row>
    <row r="49">
      <c r="A49" s="26" t="n"/>
      <c r="B49" s="26" t="n"/>
      <c r="C49" s="26" t="n"/>
      <c r="D49" s="24" t="n"/>
      <c r="E49" s="37" t="n"/>
      <c r="F49" s="37" t="n"/>
      <c r="G49" s="37" t="n"/>
      <c r="H49" s="26" t="n"/>
    </row>
    <row r="50">
      <c r="A50" s="26" t="n"/>
      <c r="B50" s="26" t="n"/>
      <c r="C50" s="26" t="n"/>
      <c r="D50" s="24" t="n"/>
      <c r="E50" s="37" t="n"/>
      <c r="F50" s="37" t="n"/>
      <c r="G50" s="37" t="n"/>
      <c r="H50" s="26" t="n"/>
    </row>
    <row r="51">
      <c r="A51" s="26" t="n"/>
      <c r="B51" s="26" t="n"/>
      <c r="C51" s="26" t="n"/>
      <c r="D51" s="24" t="n"/>
      <c r="E51" s="37" t="n"/>
      <c r="F51" s="37" t="n"/>
      <c r="G51" s="37" t="n"/>
      <c r="H51" s="26" t="n"/>
    </row>
    <row r="52">
      <c r="A52" s="26" t="n"/>
      <c r="B52" s="26" t="n"/>
      <c r="C52" s="26" t="n"/>
      <c r="D52" s="24" t="n"/>
      <c r="E52" s="37" t="n"/>
      <c r="F52" s="37" t="n"/>
      <c r="G52" s="37" t="n"/>
      <c r="H52" s="26" t="n"/>
    </row>
    <row r="53">
      <c r="A53" s="26" t="n"/>
      <c r="B53" s="26" t="n"/>
      <c r="C53" s="26" t="n"/>
      <c r="D53" s="24" t="n"/>
      <c r="E53" s="37" t="n"/>
      <c r="F53" s="37" t="n"/>
      <c r="G53" s="37" t="n"/>
      <c r="H53" s="26" t="n"/>
    </row>
    <row r="54">
      <c r="A54" s="26" t="n"/>
      <c r="B54" s="26" t="n"/>
      <c r="C54" s="26" t="n"/>
      <c r="D54" s="24" t="n"/>
      <c r="E54" s="37" t="n"/>
      <c r="F54" s="37" t="n"/>
      <c r="G54" s="37" t="n"/>
      <c r="H54" s="26" t="n"/>
    </row>
    <row r="55">
      <c r="A55" s="26" t="n"/>
      <c r="B55" s="26" t="n"/>
      <c r="C55" s="26" t="n"/>
      <c r="D55" s="24" t="n"/>
      <c r="E55" s="37" t="n"/>
      <c r="F55" s="37" t="n"/>
      <c r="G55" s="37" t="n"/>
      <c r="H55" s="26" t="n"/>
    </row>
    <row r="56">
      <c r="A56" s="26" t="n"/>
      <c r="B56" s="26" t="n"/>
      <c r="C56" s="26" t="n"/>
      <c r="D56" s="24" t="n"/>
      <c r="E56" s="37" t="n"/>
      <c r="F56" s="37" t="n"/>
      <c r="G56" s="37" t="n"/>
      <c r="H56" s="26" t="n"/>
    </row>
    <row r="57">
      <c r="A57" s="26" t="n"/>
      <c r="B57" s="26" t="n"/>
      <c r="C57" s="26" t="n"/>
      <c r="D57" s="24" t="n"/>
      <c r="E57" s="37" t="n"/>
      <c r="F57" s="37" t="n"/>
      <c r="G57" s="37" t="n"/>
      <c r="H57" s="26" t="n"/>
    </row>
    <row r="58">
      <c r="A58" s="26" t="n"/>
      <c r="B58" s="26" t="n"/>
      <c r="C58" s="26" t="n"/>
      <c r="D58" s="24" t="n"/>
      <c r="E58" s="37" t="n"/>
      <c r="F58" s="37" t="n"/>
      <c r="G58" s="37" t="n"/>
      <c r="H58" s="26" t="n"/>
    </row>
    <row r="59">
      <c r="A59" s="26" t="n"/>
      <c r="B59" s="26" t="n"/>
      <c r="C59" s="26" t="n"/>
      <c r="D59" s="24" t="n"/>
      <c r="E59" s="37" t="n"/>
      <c r="F59" s="37" t="n"/>
      <c r="G59" s="37" t="n"/>
      <c r="H59" s="26" t="n"/>
    </row>
    <row r="60">
      <c r="A60" s="26" t="n"/>
      <c r="B60" s="26" t="n"/>
      <c r="C60" s="26" t="n"/>
      <c r="D60" s="24" t="n"/>
      <c r="E60" s="37" t="n"/>
      <c r="F60" s="37" t="n"/>
      <c r="G60" s="37" t="n"/>
      <c r="H60" s="26" t="n"/>
    </row>
    <row r="61">
      <c r="A61" s="26" t="n"/>
      <c r="B61" s="26" t="n"/>
      <c r="C61" s="26" t="n"/>
      <c r="D61" s="24" t="n"/>
      <c r="E61" s="37" t="n"/>
      <c r="F61" s="37" t="n"/>
      <c r="G61" s="37" t="n"/>
      <c r="H61" s="26" t="n"/>
    </row>
    <row r="62">
      <c r="A62" s="26" t="n"/>
      <c r="B62" s="26" t="n"/>
      <c r="C62" s="26" t="n"/>
      <c r="D62" s="24" t="n"/>
      <c r="E62" s="37" t="n"/>
      <c r="F62" s="37" t="n"/>
      <c r="G62" s="37" t="n"/>
      <c r="H62" s="26" t="n"/>
    </row>
    <row r="63">
      <c r="A63" s="26" t="n"/>
      <c r="B63" s="26" t="n"/>
      <c r="C63" s="26" t="n"/>
      <c r="D63" s="24" t="n"/>
      <c r="E63" s="37" t="n"/>
      <c r="F63" s="37" t="n"/>
      <c r="G63" s="37" t="n"/>
      <c r="H63" s="26" t="n"/>
    </row>
    <row r="64">
      <c r="A64" s="26" t="n"/>
      <c r="B64" s="26" t="n"/>
      <c r="C64" s="26" t="n"/>
      <c r="D64" s="24" t="n"/>
      <c r="E64" s="37" t="n"/>
      <c r="F64" s="37" t="n"/>
      <c r="G64" s="37" t="n"/>
      <c r="H64" s="26" t="n"/>
    </row>
    <row r="65">
      <c r="A65" s="26" t="n"/>
      <c r="B65" s="26" t="n"/>
      <c r="C65" s="26" t="n"/>
      <c r="D65" s="24" t="n"/>
      <c r="E65" s="37" t="n"/>
      <c r="F65" s="37" t="n"/>
      <c r="G65" s="37" t="n"/>
      <c r="H65" s="26" t="n"/>
    </row>
    <row r="66">
      <c r="A66" s="26" t="n"/>
      <c r="B66" s="26" t="n"/>
      <c r="C66" s="26" t="n"/>
      <c r="D66" s="24" t="n"/>
      <c r="E66" s="37" t="n"/>
      <c r="F66" s="37" t="n"/>
      <c r="G66" s="37" t="n"/>
      <c r="H66" s="26" t="n"/>
    </row>
    <row r="67">
      <c r="A67" s="26" t="n"/>
      <c r="B67" s="26" t="n"/>
      <c r="C67" s="26" t="n"/>
      <c r="D67" s="24" t="n"/>
      <c r="E67" s="37" t="n"/>
      <c r="F67" s="37" t="n"/>
      <c r="G67" s="37" t="n"/>
      <c r="H67" s="26" t="n"/>
    </row>
    <row r="68">
      <c r="A68" s="26" t="n"/>
      <c r="B68" s="26" t="n"/>
      <c r="C68" s="26" t="n"/>
      <c r="D68" s="24" t="n"/>
      <c r="E68" s="37" t="n"/>
      <c r="F68" s="37" t="n"/>
      <c r="G68" s="37" t="n"/>
      <c r="H68" s="26" t="n"/>
    </row>
    <row r="69">
      <c r="A69" s="26" t="n"/>
      <c r="B69" s="26" t="n"/>
      <c r="C69" s="26" t="n"/>
      <c r="D69" s="24" t="n"/>
      <c r="E69" s="37" t="n"/>
      <c r="F69" s="37" t="n"/>
      <c r="G69" s="37" t="n"/>
      <c r="H69" s="26" t="n"/>
    </row>
    <row r="70">
      <c r="A70" s="26" t="n"/>
      <c r="B70" s="26" t="n"/>
      <c r="C70" s="26" t="n"/>
      <c r="D70" s="24" t="n"/>
      <c r="E70" s="37" t="n"/>
      <c r="F70" s="37" t="n"/>
      <c r="G70" s="37" t="n"/>
      <c r="H70" s="26" t="n"/>
    </row>
    <row r="71">
      <c r="A71" s="26" t="n"/>
      <c r="B71" s="26" t="n"/>
      <c r="C71" s="26" t="n"/>
      <c r="D71" s="24" t="n"/>
      <c r="E71" s="37" t="n"/>
      <c r="F71" s="37" t="n"/>
      <c r="G71" s="37" t="n"/>
      <c r="H71" s="26" t="n"/>
    </row>
    <row r="72">
      <c r="A72" s="26" t="n"/>
      <c r="B72" s="26" t="n"/>
      <c r="C72" s="26" t="n"/>
      <c r="D72" s="24" t="n"/>
      <c r="E72" s="37" t="n"/>
      <c r="F72" s="37" t="n"/>
      <c r="G72" s="37" t="n"/>
      <c r="H72" s="26" t="n"/>
    </row>
    <row r="73">
      <c r="A73" s="26" t="n"/>
      <c r="B73" s="26" t="n"/>
      <c r="C73" s="26" t="n"/>
      <c r="D73" s="24" t="n"/>
      <c r="E73" s="37" t="n"/>
      <c r="F73" s="37" t="n"/>
      <c r="G73" s="37" t="n"/>
      <c r="H73" s="26" t="n"/>
    </row>
    <row r="74">
      <c r="A74" s="26" t="n"/>
      <c r="B74" s="26" t="n"/>
      <c r="C74" s="26" t="n"/>
      <c r="D74" s="24" t="n"/>
      <c r="E74" s="37" t="n"/>
      <c r="F74" s="37" t="n"/>
      <c r="G74" s="37" t="n"/>
      <c r="H74" s="26" t="n"/>
    </row>
    <row r="75">
      <c r="A75" s="26" t="n"/>
      <c r="B75" s="26" t="n"/>
      <c r="C75" s="26" t="n"/>
      <c r="D75" s="24" t="n"/>
      <c r="E75" s="37" t="n"/>
      <c r="F75" s="37" t="n"/>
      <c r="G75" s="37" t="n"/>
      <c r="H75" s="26" t="n"/>
    </row>
    <row r="76">
      <c r="A76" s="26" t="n"/>
      <c r="B76" s="26" t="n"/>
      <c r="C76" s="26" t="n"/>
      <c r="D76" s="24" t="n"/>
      <c r="E76" s="37" t="n"/>
      <c r="F76" s="37" t="n"/>
      <c r="G76" s="37" t="n"/>
      <c r="H76" s="26" t="n"/>
    </row>
    <row r="77">
      <c r="A77" s="26" t="n"/>
      <c r="B77" s="26" t="n"/>
      <c r="C77" s="26" t="n"/>
      <c r="D77" s="24" t="n"/>
      <c r="E77" s="37" t="n"/>
      <c r="F77" s="37" t="n"/>
      <c r="G77" s="37" t="n"/>
      <c r="H77" s="26" t="n"/>
    </row>
    <row r="78">
      <c r="A78" s="26" t="n"/>
      <c r="B78" s="26" t="n"/>
      <c r="C78" s="26" t="n"/>
      <c r="D78" s="24" t="n"/>
      <c r="E78" s="37" t="n"/>
      <c r="F78" s="37" t="n"/>
      <c r="G78" s="37" t="n"/>
      <c r="H78" s="26" t="n"/>
    </row>
    <row r="79">
      <c r="A79" s="26" t="n"/>
      <c r="B79" s="26" t="n"/>
      <c r="C79" s="26" t="n"/>
      <c r="D79" s="24" t="n"/>
      <c r="E79" s="37" t="n"/>
      <c r="F79" s="37" t="n"/>
      <c r="G79" s="37" t="n"/>
      <c r="H79" s="26" t="n"/>
    </row>
    <row r="80">
      <c r="A80" s="26" t="n"/>
      <c r="B80" s="26" t="n"/>
      <c r="C80" s="26" t="n"/>
      <c r="D80" s="24" t="n"/>
      <c r="E80" s="37" t="n"/>
      <c r="F80" s="37" t="n"/>
      <c r="G80" s="37" t="n"/>
      <c r="H80" s="26" t="n"/>
    </row>
    <row r="81">
      <c r="A81" s="26" t="n"/>
      <c r="B81" s="26" t="n"/>
      <c r="C81" s="26" t="n"/>
      <c r="D81" s="24" t="n"/>
      <c r="E81" s="37" t="n"/>
      <c r="F81" s="37" t="n"/>
      <c r="G81" s="37" t="n"/>
      <c r="H81" s="26" t="n"/>
    </row>
    <row r="82">
      <c r="A82" s="26" t="n"/>
      <c r="B82" s="26" t="n"/>
      <c r="C82" s="26" t="n"/>
      <c r="D82" s="24" t="n"/>
      <c r="E82" s="37" t="n"/>
      <c r="F82" s="37" t="n"/>
      <c r="G82" s="37" t="n"/>
      <c r="H82" s="26" t="n"/>
    </row>
    <row r="83">
      <c r="A83" s="26" t="n"/>
      <c r="B83" s="26" t="n"/>
      <c r="C83" s="26" t="n"/>
      <c r="D83" s="24" t="n"/>
      <c r="E83" s="37" t="n"/>
      <c r="F83" s="37" t="n"/>
      <c r="G83" s="37" t="n"/>
      <c r="H83" s="26" t="n"/>
    </row>
    <row r="84">
      <c r="A84" s="26" t="n"/>
      <c r="B84" s="26" t="n"/>
      <c r="C84" s="26" t="n"/>
      <c r="D84" s="24" t="n"/>
      <c r="E84" s="37" t="n"/>
      <c r="F84" s="37" t="n"/>
      <c r="G84" s="37" t="n"/>
      <c r="H84" s="26" t="n"/>
    </row>
    <row r="85">
      <c r="A85" s="26" t="n"/>
      <c r="B85" s="26" t="n"/>
      <c r="C85" s="26" t="n"/>
      <c r="D85" s="24" t="n"/>
      <c r="E85" s="37" t="n"/>
      <c r="F85" s="37" t="n"/>
      <c r="G85" s="37" t="n"/>
      <c r="H85" s="26" t="n"/>
    </row>
    <row r="86">
      <c r="A86" s="26" t="n"/>
      <c r="B86" s="26" t="n"/>
      <c r="C86" s="26" t="n"/>
      <c r="D86" s="24" t="n"/>
      <c r="E86" s="37" t="n"/>
      <c r="F86" s="37" t="n"/>
      <c r="G86" s="37" t="n"/>
      <c r="H86" s="26" t="n"/>
    </row>
    <row r="87">
      <c r="A87" s="26" t="n"/>
      <c r="B87" s="26" t="n"/>
      <c r="C87" s="26" t="n"/>
      <c r="D87" s="24" t="n"/>
      <c r="E87" s="37" t="n"/>
      <c r="F87" s="37" t="n"/>
      <c r="G87" s="37" t="n"/>
      <c r="H87" s="26" t="n"/>
    </row>
    <row r="88">
      <c r="A88" s="26" t="n"/>
      <c r="B88" s="26" t="n"/>
      <c r="C88" s="26" t="n"/>
      <c r="D88" s="24" t="n"/>
      <c r="E88" s="37" t="n"/>
      <c r="F88" s="37" t="n"/>
      <c r="G88" s="37" t="n"/>
      <c r="H88" s="26" t="n"/>
    </row>
    <row r="89">
      <c r="A89" s="26" t="n"/>
      <c r="B89" s="26" t="n"/>
      <c r="C89" s="26" t="n"/>
      <c r="D89" s="24" t="n"/>
      <c r="E89" s="37" t="n"/>
      <c r="F89" s="37" t="n"/>
      <c r="G89" s="37" t="n"/>
      <c r="H89" s="26" t="n"/>
    </row>
    <row r="90">
      <c r="A90" s="26" t="n"/>
      <c r="B90" s="26" t="n"/>
      <c r="C90" s="26" t="n"/>
      <c r="D90" s="24" t="n"/>
      <c r="E90" s="37" t="n"/>
      <c r="F90" s="37" t="n"/>
      <c r="G90" s="37" t="n"/>
      <c r="H90" s="26" t="n"/>
    </row>
    <row r="91">
      <c r="A91" s="26" t="n"/>
      <c r="B91" s="26" t="n"/>
      <c r="C91" s="26" t="n"/>
      <c r="D91" s="24" t="n"/>
      <c r="E91" s="37" t="n"/>
      <c r="F91" s="37" t="n"/>
      <c r="G91" s="37" t="n"/>
      <c r="H91" s="26" t="n"/>
    </row>
    <row r="92">
      <c r="A92" s="26" t="n"/>
      <c r="B92" s="26" t="n"/>
      <c r="C92" s="26" t="n"/>
      <c r="D92" s="24" t="n"/>
      <c r="E92" s="37" t="n"/>
      <c r="F92" s="37" t="n"/>
      <c r="G92" s="37" t="n"/>
      <c r="H92" s="26" t="n"/>
    </row>
    <row r="93">
      <c r="A93" s="26" t="n"/>
      <c r="B93" s="26" t="n"/>
      <c r="C93" s="26" t="n"/>
      <c r="D93" s="24" t="n"/>
      <c r="E93" s="37" t="n"/>
      <c r="F93" s="37" t="n"/>
      <c r="G93" s="37" t="n"/>
      <c r="H93" s="26" t="n"/>
    </row>
    <row r="94">
      <c r="A94" s="26" t="n"/>
      <c r="B94" s="26" t="n"/>
      <c r="C94" s="26" t="n"/>
      <c r="D94" s="24" t="n"/>
      <c r="E94" s="37" t="n"/>
      <c r="F94" s="37" t="n"/>
      <c r="G94" s="37" t="n"/>
      <c r="H94" s="26" t="n"/>
    </row>
    <row r="95">
      <c r="A95" s="26" t="n"/>
      <c r="B95" s="26" t="n"/>
      <c r="C95" s="26" t="n"/>
      <c r="D95" s="24" t="n"/>
      <c r="E95" s="37" t="n"/>
      <c r="F95" s="37" t="n"/>
      <c r="G95" s="37" t="n"/>
      <c r="H95" s="26" t="n"/>
    </row>
    <row r="96">
      <c r="A96" s="26" t="n"/>
      <c r="B96" s="26" t="n"/>
      <c r="C96" s="26" t="n"/>
      <c r="D96" s="24" t="n"/>
      <c r="E96" s="37" t="n"/>
      <c r="F96" s="37" t="n"/>
      <c r="G96" s="37" t="n"/>
      <c r="H96" s="26" t="n"/>
    </row>
    <row r="97">
      <c r="A97" s="26" t="n"/>
      <c r="B97" s="26" t="n"/>
      <c r="C97" s="26" t="n"/>
      <c r="D97" s="24" t="n"/>
      <c r="E97" s="37" t="n"/>
      <c r="F97" s="37" t="n"/>
      <c r="G97" s="37" t="n"/>
      <c r="H97" s="26" t="n"/>
    </row>
    <row r="98">
      <c r="A98" s="26" t="n"/>
      <c r="B98" s="26" t="n"/>
      <c r="C98" s="26" t="n"/>
      <c r="D98" s="24" t="n"/>
      <c r="E98" s="37" t="n"/>
      <c r="F98" s="37" t="n"/>
      <c r="G98" s="37" t="n"/>
      <c r="H98" s="26" t="n"/>
    </row>
    <row r="99">
      <c r="A99" s="26" t="n"/>
      <c r="B99" s="26" t="n"/>
      <c r="C99" s="26" t="n"/>
      <c r="D99" s="24" t="n"/>
      <c r="E99" s="37" t="n"/>
      <c r="F99" s="37" t="n"/>
      <c r="G99" s="37" t="n"/>
      <c r="H99" s="26" t="n"/>
    </row>
    <row r="100">
      <c r="A100" s="26" t="n"/>
      <c r="B100" s="26" t="n"/>
      <c r="C100" s="26" t="n"/>
      <c r="D100" s="24" t="n"/>
      <c r="E100" s="37" t="n"/>
      <c r="F100" s="37" t="n"/>
      <c r="G100" s="37" t="n"/>
      <c r="H100" s="26" t="n"/>
    </row>
    <row r="101">
      <c r="A101" s="26" t="n"/>
      <c r="B101" s="26" t="n"/>
      <c r="C101" s="26" t="n"/>
      <c r="D101" s="24" t="n"/>
      <c r="E101" s="37" t="n"/>
      <c r="F101" s="37" t="n"/>
      <c r="G101" s="37" t="n"/>
      <c r="H101" s="26" t="n"/>
    </row>
    <row r="102">
      <c r="A102" s="26" t="n"/>
      <c r="B102" s="26" t="n"/>
      <c r="C102" s="26" t="n"/>
      <c r="D102" s="24" t="n"/>
      <c r="E102" s="37" t="n"/>
      <c r="F102" s="37" t="n"/>
      <c r="G102" s="37" t="n"/>
      <c r="H102" s="26" t="n"/>
    </row>
    <row r="103">
      <c r="A103" s="26" t="n"/>
      <c r="B103" s="26" t="n"/>
      <c r="C103" s="26" t="n"/>
      <c r="D103" s="24" t="n"/>
      <c r="E103" s="37" t="n"/>
      <c r="F103" s="37" t="n"/>
      <c r="G103" s="37" t="n"/>
      <c r="H103" s="26" t="n"/>
    </row>
    <row r="104">
      <c r="A104" s="26" t="n"/>
      <c r="B104" s="26" t="n"/>
      <c r="C104" s="26" t="n"/>
      <c r="D104" s="24" t="n"/>
      <c r="E104" s="37" t="n"/>
      <c r="F104" s="37" t="n"/>
      <c r="G104" s="37" t="n"/>
      <c r="H104" s="26" t="n"/>
    </row>
    <row r="105">
      <c r="A105" s="26" t="n"/>
      <c r="B105" s="26" t="n"/>
      <c r="C105" s="26" t="n"/>
      <c r="D105" s="24" t="n"/>
      <c r="E105" s="37" t="n"/>
      <c r="F105" s="37" t="n"/>
      <c r="G105" s="37" t="n"/>
      <c r="H105" s="26" t="n"/>
    </row>
    <row r="106">
      <c r="A106" s="26" t="n"/>
      <c r="B106" s="26" t="n"/>
      <c r="C106" s="26" t="n"/>
      <c r="D106" s="24" t="n"/>
      <c r="E106" s="37" t="n"/>
      <c r="F106" s="37" t="n"/>
      <c r="G106" s="37" t="n"/>
      <c r="H106" s="26" t="n"/>
    </row>
    <row r="107">
      <c r="A107" s="26" t="n"/>
      <c r="B107" s="26" t="n"/>
      <c r="C107" s="26" t="n"/>
      <c r="D107" s="24" t="n"/>
      <c r="E107" s="37" t="n"/>
      <c r="F107" s="37" t="n"/>
      <c r="G107" s="37" t="n"/>
      <c r="H107" s="26" t="n"/>
    </row>
    <row r="108">
      <c r="A108" s="26" t="n"/>
      <c r="B108" s="26" t="n"/>
      <c r="C108" s="26" t="n"/>
      <c r="D108" s="24" t="n"/>
      <c r="E108" s="37" t="n"/>
      <c r="F108" s="37" t="n"/>
      <c r="G108" s="37" t="n"/>
      <c r="H108" s="26" t="n"/>
    </row>
    <row r="109">
      <c r="A109" s="26" t="n"/>
      <c r="B109" s="26" t="n"/>
      <c r="C109" s="26" t="n"/>
      <c r="D109" s="24" t="n"/>
      <c r="E109" s="37" t="n"/>
      <c r="F109" s="37" t="n"/>
      <c r="G109" s="37" t="n"/>
      <c r="H109" s="26" t="n"/>
    </row>
    <row r="110">
      <c r="A110" s="26" t="n"/>
      <c r="B110" s="26" t="n"/>
      <c r="C110" s="26" t="n"/>
      <c r="D110" s="24" t="n"/>
      <c r="E110" s="37" t="n"/>
      <c r="F110" s="37" t="n"/>
      <c r="G110" s="37" t="n"/>
      <c r="H110" s="26" t="n"/>
    </row>
    <row r="111">
      <c r="A111" s="26" t="n"/>
      <c r="B111" s="26" t="n"/>
      <c r="C111" s="26" t="n"/>
      <c r="D111" s="24" t="n"/>
      <c r="E111" s="37" t="n"/>
      <c r="F111" s="37" t="n"/>
      <c r="G111" s="37" t="n"/>
      <c r="H111" s="26" t="n"/>
    </row>
    <row r="112">
      <c r="A112" s="26" t="n"/>
      <c r="B112" s="26" t="n"/>
      <c r="C112" s="26" t="n"/>
      <c r="D112" s="24" t="n"/>
      <c r="E112" s="37" t="n"/>
      <c r="F112" s="37" t="n"/>
      <c r="G112" s="37" t="n"/>
      <c r="H112" s="26" t="n"/>
    </row>
    <row r="113">
      <c r="A113" s="26" t="n"/>
      <c r="B113" s="26" t="n"/>
      <c r="C113" s="26" t="n"/>
      <c r="D113" s="24" t="n"/>
      <c r="E113" s="37" t="n"/>
      <c r="F113" s="37" t="n"/>
      <c r="G113" s="37" t="n"/>
      <c r="H113" s="26" t="n"/>
    </row>
    <row r="114">
      <c r="A114" s="26" t="n"/>
      <c r="B114" s="26" t="n"/>
      <c r="C114" s="26" t="n"/>
      <c r="D114" s="24" t="n"/>
      <c r="E114" s="37" t="n"/>
      <c r="F114" s="37" t="n"/>
      <c r="G114" s="37" t="n"/>
      <c r="H114" s="26" t="n"/>
    </row>
    <row r="115">
      <c r="A115" s="26" t="n"/>
      <c r="B115" s="26" t="n"/>
      <c r="C115" s="26" t="n"/>
      <c r="D115" s="24" t="n"/>
      <c r="E115" s="37" t="n"/>
      <c r="F115" s="37" t="n"/>
      <c r="G115" s="37" t="n"/>
      <c r="H115" s="26" t="n"/>
    </row>
    <row r="116">
      <c r="A116" s="26" t="n"/>
      <c r="B116" s="26" t="n"/>
      <c r="C116" s="26" t="n"/>
      <c r="D116" s="24" t="n"/>
      <c r="E116" s="37" t="n"/>
      <c r="F116" s="37" t="n"/>
      <c r="G116" s="37" t="n"/>
      <c r="H116" s="26" t="n"/>
    </row>
    <row r="117">
      <c r="A117" s="26" t="n"/>
      <c r="B117" s="26" t="n"/>
      <c r="C117" s="26" t="n"/>
      <c r="D117" s="24" t="n"/>
      <c r="E117" s="37" t="n"/>
      <c r="F117" s="37" t="n"/>
      <c r="G117" s="37" t="n"/>
      <c r="H117" s="26" t="n"/>
    </row>
    <row r="118">
      <c r="A118" s="26" t="n"/>
      <c r="B118" s="26" t="n"/>
      <c r="C118" s="26" t="n"/>
      <c r="D118" s="24" t="n"/>
      <c r="E118" s="37" t="n"/>
      <c r="F118" s="37" t="n"/>
      <c r="G118" s="37" t="n"/>
      <c r="H118" s="26" t="n"/>
    </row>
    <row r="119">
      <c r="A119" s="26" t="n"/>
      <c r="B119" s="26" t="n"/>
      <c r="C119" s="26" t="n"/>
      <c r="D119" s="24" t="n"/>
      <c r="E119" s="37" t="n"/>
      <c r="F119" s="37" t="n"/>
      <c r="G119" s="37" t="n"/>
      <c r="H119" s="26" t="n"/>
    </row>
    <row r="120">
      <c r="A120" s="26" t="n"/>
      <c r="B120" s="26" t="n"/>
      <c r="C120" s="26" t="n"/>
      <c r="D120" s="24" t="n"/>
      <c r="E120" s="37" t="n"/>
      <c r="F120" s="37" t="n"/>
      <c r="G120" s="37" t="n"/>
      <c r="H120" s="26" t="n"/>
    </row>
    <row r="121">
      <c r="A121" s="26" t="n"/>
      <c r="B121" s="26" t="n"/>
      <c r="C121" s="26" t="n"/>
      <c r="D121" s="24" t="n"/>
      <c r="E121" s="37" t="n"/>
      <c r="F121" s="37" t="n"/>
      <c r="G121" s="37" t="n"/>
      <c r="H121" s="26" t="n"/>
    </row>
    <row r="122">
      <c r="A122" s="26" t="n"/>
      <c r="B122" s="26" t="n"/>
      <c r="C122" s="26" t="n"/>
      <c r="D122" s="24" t="n"/>
      <c r="E122" s="37" t="n"/>
      <c r="F122" s="37" t="n"/>
      <c r="G122" s="37" t="n"/>
      <c r="H122" s="26" t="n"/>
    </row>
    <row r="123">
      <c r="A123" s="26" t="n"/>
      <c r="B123" s="26" t="n"/>
      <c r="C123" s="26" t="n"/>
      <c r="D123" s="24" t="n"/>
      <c r="E123" s="37" t="n"/>
      <c r="F123" s="37" t="n"/>
      <c r="G123" s="37" t="n"/>
      <c r="H123" s="26" t="n"/>
    </row>
    <row r="124">
      <c r="A124" s="26" t="n"/>
      <c r="B124" s="26" t="n"/>
      <c r="C124" s="26" t="n"/>
      <c r="D124" s="24" t="n"/>
      <c r="E124" s="37" t="n"/>
      <c r="F124" s="37" t="n"/>
      <c r="G124" s="37" t="n"/>
      <c r="H124" s="26" t="n"/>
    </row>
    <row r="125">
      <c r="A125" s="26" t="n"/>
      <c r="B125" s="26" t="n"/>
      <c r="C125" s="26" t="n"/>
      <c r="D125" s="24" t="n"/>
      <c r="E125" s="37" t="n"/>
      <c r="F125" s="37" t="n"/>
      <c r="G125" s="37" t="n"/>
      <c r="H125" s="26" t="n"/>
    </row>
    <row r="126">
      <c r="A126" s="26" t="n"/>
      <c r="B126" s="26" t="n"/>
      <c r="C126" s="26" t="n"/>
      <c r="D126" s="24" t="n"/>
      <c r="E126" s="37" t="n"/>
      <c r="F126" s="37" t="n"/>
      <c r="G126" s="37" t="n"/>
      <c r="H126" s="26" t="n"/>
    </row>
    <row r="127">
      <c r="A127" s="26" t="n"/>
      <c r="B127" s="26" t="n"/>
      <c r="C127" s="26" t="n"/>
      <c r="D127" s="24" t="n"/>
      <c r="E127" s="37" t="n"/>
      <c r="F127" s="37" t="n"/>
      <c r="G127" s="37" t="n"/>
      <c r="H127" s="26" t="n"/>
    </row>
    <row r="128">
      <c r="A128" s="26" t="n"/>
      <c r="B128" s="26" t="n"/>
      <c r="C128" s="26" t="n"/>
      <c r="D128" s="24" t="n"/>
      <c r="E128" s="37" t="n"/>
      <c r="F128" s="37" t="n"/>
      <c r="G128" s="37" t="n"/>
      <c r="H128" s="26" t="n"/>
    </row>
    <row r="129">
      <c r="A129" s="26" t="n"/>
      <c r="B129" s="26" t="n"/>
      <c r="C129" s="26" t="n"/>
      <c r="D129" s="24" t="n"/>
      <c r="E129" s="37" t="n"/>
      <c r="F129" s="37" t="n"/>
      <c r="G129" s="37" t="n"/>
      <c r="H129" s="26" t="n"/>
    </row>
    <row r="130">
      <c r="A130" s="26" t="n"/>
      <c r="B130" s="26" t="n"/>
      <c r="C130" s="26" t="n"/>
      <c r="D130" s="24" t="n"/>
      <c r="E130" s="37" t="n"/>
      <c r="F130" s="37" t="n"/>
      <c r="G130" s="37" t="n"/>
      <c r="H130" s="26" t="n"/>
    </row>
    <row r="131">
      <c r="A131" s="26" t="n"/>
      <c r="B131" s="26" t="n"/>
      <c r="C131" s="26" t="n"/>
      <c r="D131" s="24" t="n"/>
      <c r="E131" s="37" t="n"/>
      <c r="F131" s="37" t="n"/>
      <c r="G131" s="37" t="n"/>
      <c r="H131" s="26" t="n"/>
    </row>
    <row r="132">
      <c r="A132" s="26" t="n"/>
      <c r="B132" s="26" t="n"/>
      <c r="C132" s="26" t="n"/>
      <c r="D132" s="24" t="n"/>
      <c r="E132" s="37" t="n"/>
      <c r="F132" s="37" t="n"/>
      <c r="G132" s="37" t="n"/>
      <c r="H132" s="26" t="n"/>
    </row>
    <row r="133">
      <c r="A133" s="26" t="n"/>
      <c r="B133" s="26" t="n"/>
      <c r="C133" s="26" t="n"/>
      <c r="D133" s="24" t="n"/>
      <c r="E133" s="37" t="n"/>
      <c r="F133" s="37" t="n"/>
      <c r="G133" s="37" t="n"/>
      <c r="H133" s="26" t="n"/>
    </row>
    <row r="134">
      <c r="A134" s="26" t="n"/>
      <c r="B134" s="26" t="n"/>
      <c r="C134" s="26" t="n"/>
      <c r="D134" s="24" t="n"/>
      <c r="E134" s="37" t="n"/>
      <c r="F134" s="37" t="n"/>
      <c r="G134" s="37" t="n"/>
      <c r="H134" s="26" t="n"/>
    </row>
    <row r="135">
      <c r="A135" s="26" t="n"/>
      <c r="B135" s="26" t="n"/>
      <c r="C135" s="26" t="n"/>
      <c r="D135" s="24" t="n"/>
      <c r="E135" s="37" t="n"/>
      <c r="F135" s="37" t="n"/>
      <c r="G135" s="37" t="n"/>
      <c r="H135" s="26" t="n"/>
    </row>
    <row r="136">
      <c r="A136" s="26" t="n"/>
      <c r="B136" s="26" t="n"/>
      <c r="C136" s="26" t="n"/>
      <c r="D136" s="24" t="n"/>
      <c r="E136" s="37" t="n"/>
      <c r="F136" s="37" t="n"/>
      <c r="G136" s="37" t="n"/>
      <c r="H136" s="26" t="n"/>
    </row>
    <row r="137">
      <c r="A137" s="26" t="n"/>
      <c r="B137" s="26" t="n"/>
      <c r="C137" s="26" t="n"/>
      <c r="D137" s="24" t="n"/>
      <c r="E137" s="37" t="n"/>
      <c r="F137" s="37" t="n"/>
      <c r="G137" s="37" t="n"/>
      <c r="H137" s="26" t="n"/>
    </row>
    <row r="138">
      <c r="A138" s="26" t="n"/>
      <c r="B138" s="26" t="n"/>
      <c r="C138" s="26" t="n"/>
      <c r="D138" s="24" t="n"/>
      <c r="E138" s="37" t="n"/>
      <c r="F138" s="37" t="n"/>
      <c r="G138" s="37" t="n"/>
      <c r="H138" s="26" t="n"/>
    </row>
    <row r="139">
      <c r="A139" s="26" t="n"/>
      <c r="B139" s="26" t="n"/>
      <c r="C139" s="26" t="n"/>
      <c r="D139" s="24" t="n"/>
      <c r="E139" s="37" t="n"/>
      <c r="F139" s="37" t="n"/>
      <c r="G139" s="37" t="n"/>
      <c r="H139" s="26" t="n"/>
    </row>
    <row r="140">
      <c r="A140" s="26" t="n"/>
      <c r="B140" s="26" t="n"/>
      <c r="C140" s="26" t="n"/>
      <c r="D140" s="24" t="n"/>
      <c r="E140" s="37" t="n"/>
      <c r="F140" s="37" t="n"/>
      <c r="G140" s="37" t="n"/>
      <c r="H140" s="26" t="n"/>
    </row>
    <row r="141">
      <c r="A141" s="26" t="n"/>
      <c r="B141" s="26" t="n"/>
      <c r="C141" s="26" t="n"/>
      <c r="D141" s="24" t="n"/>
      <c r="E141" s="37" t="n"/>
      <c r="F141" s="37" t="n"/>
      <c r="G141" s="37" t="n"/>
      <c r="H141" s="26" t="n"/>
    </row>
    <row r="142">
      <c r="A142" s="26" t="n"/>
      <c r="B142" s="26" t="n"/>
      <c r="C142" s="26" t="n"/>
      <c r="D142" s="24" t="n"/>
      <c r="E142" s="37" t="n"/>
      <c r="F142" s="37" t="n"/>
      <c r="G142" s="37" t="n"/>
      <c r="H142" s="26" t="n"/>
    </row>
    <row r="143">
      <c r="A143" s="26" t="n"/>
      <c r="B143" s="26" t="n"/>
      <c r="C143" s="26" t="n"/>
      <c r="D143" s="24" t="n"/>
      <c r="E143" s="37" t="n"/>
      <c r="F143" s="37" t="n"/>
      <c r="G143" s="37" t="n"/>
      <c r="H143" s="26" t="n"/>
    </row>
    <row r="144">
      <c r="A144" s="26" t="n"/>
      <c r="B144" s="26" t="n"/>
      <c r="C144" s="26" t="n"/>
      <c r="D144" s="24" t="n"/>
      <c r="E144" s="37" t="n"/>
      <c r="F144" s="37" t="n"/>
      <c r="G144" s="37" t="n"/>
      <c r="H144" s="26" t="n"/>
    </row>
    <row r="145">
      <c r="A145" s="26" t="n"/>
      <c r="B145" s="26" t="n"/>
      <c r="C145" s="26" t="n"/>
      <c r="D145" s="24" t="n"/>
      <c r="E145" s="37" t="n"/>
      <c r="F145" s="37" t="n"/>
      <c r="G145" s="37" t="n"/>
      <c r="H145" s="26" t="n"/>
    </row>
    <row r="146">
      <c r="A146" s="26" t="n"/>
      <c r="B146" s="26" t="n"/>
      <c r="C146" s="26" t="n"/>
      <c r="D146" s="24" t="n"/>
      <c r="E146" s="37" t="n"/>
      <c r="F146" s="37" t="n"/>
      <c r="G146" s="37" t="n"/>
      <c r="H146" s="26" t="n"/>
    </row>
    <row r="147">
      <c r="A147" s="26" t="n"/>
      <c r="B147" s="26" t="n"/>
      <c r="C147" s="26" t="n"/>
      <c r="D147" s="24" t="n"/>
      <c r="E147" s="37" t="n"/>
      <c r="F147" s="37" t="n"/>
      <c r="G147" s="37" t="n"/>
      <c r="H147" s="26" t="n"/>
    </row>
    <row r="148">
      <c r="A148" s="26" t="n"/>
      <c r="B148" s="26" t="n"/>
      <c r="C148" s="26" t="n"/>
      <c r="D148" s="24" t="n"/>
      <c r="E148" s="37" t="n"/>
      <c r="F148" s="37" t="n"/>
      <c r="G148" s="37" t="n"/>
      <c r="H148" s="26" t="n"/>
    </row>
    <row r="149">
      <c r="A149" s="26" t="n"/>
      <c r="B149" s="26" t="n"/>
      <c r="C149" s="26" t="n"/>
      <c r="D149" s="24" t="n"/>
      <c r="E149" s="37" t="n"/>
      <c r="F149" s="37" t="n"/>
      <c r="G149" s="37" t="n"/>
      <c r="H149" s="26" t="n"/>
    </row>
    <row r="150">
      <c r="A150" s="26" t="n"/>
      <c r="B150" s="26" t="n"/>
      <c r="C150" s="26" t="n"/>
      <c r="D150" s="24" t="n"/>
      <c r="E150" s="37" t="n"/>
      <c r="F150" s="37" t="n"/>
      <c r="G150" s="37" t="n"/>
      <c r="H150" s="26" t="n"/>
    </row>
    <row r="151">
      <c r="A151" s="26" t="n"/>
      <c r="B151" s="26" t="n"/>
      <c r="C151" s="26" t="n"/>
      <c r="D151" s="24" t="n"/>
      <c r="E151" s="37" t="n"/>
      <c r="F151" s="37" t="n"/>
      <c r="G151" s="37" t="n"/>
      <c r="H151" s="26" t="n"/>
    </row>
    <row r="152">
      <c r="A152" s="26" t="n"/>
      <c r="B152" s="26" t="n"/>
      <c r="C152" s="26" t="n"/>
      <c r="D152" s="24" t="n"/>
      <c r="E152" s="37" t="n"/>
      <c r="F152" s="37" t="n"/>
      <c r="G152" s="37" t="n"/>
      <c r="H152" s="26" t="n"/>
    </row>
    <row r="153">
      <c r="A153" s="26" t="n"/>
      <c r="B153" s="26" t="n"/>
      <c r="C153" s="26" t="n"/>
      <c r="D153" s="24" t="n"/>
      <c r="E153" s="37" t="n"/>
      <c r="F153" s="37" t="n"/>
      <c r="G153" s="37" t="n"/>
      <c r="H153" s="26" t="n"/>
    </row>
    <row r="154">
      <c r="A154" s="26" t="n"/>
      <c r="B154" s="26" t="n"/>
      <c r="C154" s="26" t="n"/>
      <c r="D154" s="24" t="n"/>
      <c r="E154" s="37" t="n"/>
      <c r="F154" s="37" t="n"/>
      <c r="G154" s="37" t="n"/>
      <c r="H154" s="26" t="n"/>
    </row>
    <row r="155">
      <c r="A155" s="26" t="n"/>
      <c r="B155" s="26" t="n"/>
      <c r="C155" s="26" t="n"/>
      <c r="D155" s="24" t="n"/>
      <c r="E155" s="37" t="n"/>
      <c r="F155" s="37" t="n"/>
      <c r="G155" s="37" t="n"/>
      <c r="H155" s="26" t="n"/>
    </row>
    <row r="156">
      <c r="A156" s="26" t="n"/>
      <c r="B156" s="26" t="n"/>
      <c r="C156" s="26" t="n"/>
      <c r="D156" s="24" t="n"/>
      <c r="E156" s="37" t="n"/>
      <c r="F156" s="37" t="n"/>
      <c r="G156" s="37" t="n"/>
      <c r="H156" s="26" t="n"/>
    </row>
    <row r="157">
      <c r="A157" s="26" t="n"/>
      <c r="B157" s="26" t="n"/>
      <c r="C157" s="26" t="n"/>
      <c r="D157" s="24" t="n"/>
      <c r="E157" s="37" t="n"/>
      <c r="F157" s="37" t="n"/>
      <c r="G157" s="37" t="n"/>
      <c r="H157" s="26" t="n"/>
    </row>
    <row r="158">
      <c r="A158" s="26" t="n"/>
      <c r="B158" s="26" t="n"/>
      <c r="C158" s="26" t="n"/>
      <c r="D158" s="24" t="n"/>
      <c r="E158" s="37" t="n"/>
      <c r="F158" s="37" t="n"/>
      <c r="G158" s="37" t="n"/>
      <c r="H158" s="26" t="n"/>
    </row>
    <row r="159">
      <c r="A159" s="26" t="n"/>
      <c r="B159" s="26" t="n"/>
      <c r="C159" s="26" t="n"/>
      <c r="D159" s="24" t="n"/>
      <c r="E159" s="37" t="n"/>
      <c r="F159" s="37" t="n"/>
      <c r="G159" s="37" t="n"/>
      <c r="H159" s="26" t="n"/>
    </row>
    <row r="160">
      <c r="A160" s="26" t="n"/>
      <c r="B160" s="26" t="n"/>
      <c r="C160" s="26" t="n"/>
      <c r="D160" s="24" t="n"/>
      <c r="E160" s="37" t="n"/>
      <c r="F160" s="37" t="n"/>
      <c r="G160" s="37" t="n"/>
      <c r="H160" s="26" t="n"/>
    </row>
    <row r="161">
      <c r="A161" s="26" t="n"/>
      <c r="B161" s="26" t="n"/>
      <c r="C161" s="26" t="n"/>
      <c r="D161" s="24" t="n"/>
      <c r="E161" s="37" t="n"/>
      <c r="F161" s="37" t="n"/>
      <c r="G161" s="37" t="n"/>
      <c r="H161" s="26" t="n"/>
    </row>
    <row r="162">
      <c r="A162" s="26" t="n"/>
      <c r="B162" s="26" t="n"/>
      <c r="C162" s="26" t="n"/>
      <c r="D162" s="24" t="n"/>
      <c r="E162" s="37" t="n"/>
      <c r="F162" s="37" t="n"/>
      <c r="G162" s="37" t="n"/>
      <c r="H162" s="26" t="n"/>
    </row>
    <row r="163">
      <c r="A163" s="26" t="n"/>
      <c r="B163" s="26" t="n"/>
      <c r="C163" s="26" t="n"/>
      <c r="D163" s="24" t="n"/>
      <c r="E163" s="37" t="n"/>
      <c r="F163" s="37" t="n"/>
      <c r="G163" s="37" t="n"/>
      <c r="H163" s="26" t="n"/>
    </row>
    <row r="164">
      <c r="A164" s="26" t="n"/>
      <c r="B164" s="26" t="n"/>
      <c r="C164" s="26" t="n"/>
      <c r="D164" s="24" t="n"/>
      <c r="E164" s="37" t="n"/>
      <c r="F164" s="37" t="n"/>
      <c r="G164" s="37" t="n"/>
      <c r="H164" s="26" t="n"/>
    </row>
    <row r="165">
      <c r="A165" s="26" t="n"/>
      <c r="B165" s="26" t="n"/>
      <c r="C165" s="26" t="n"/>
      <c r="D165" s="24" t="n"/>
      <c r="E165" s="37" t="n"/>
      <c r="F165" s="37" t="n"/>
      <c r="G165" s="37" t="n"/>
      <c r="H165" s="26" t="n"/>
    </row>
    <row r="166">
      <c r="A166" s="26" t="n"/>
      <c r="B166" s="26" t="n"/>
      <c r="C166" s="26" t="n"/>
      <c r="D166" s="24" t="n"/>
      <c r="E166" s="37" t="n"/>
      <c r="F166" s="37" t="n"/>
      <c r="G166" s="37" t="n"/>
      <c r="H166" s="26" t="n"/>
    </row>
    <row r="167">
      <c r="A167" s="26" t="n"/>
      <c r="B167" s="26" t="n"/>
      <c r="C167" s="26" t="n"/>
      <c r="D167" s="24" t="n"/>
      <c r="E167" s="37" t="n"/>
      <c r="F167" s="37" t="n"/>
      <c r="G167" s="37" t="n"/>
      <c r="H167" s="26" t="n"/>
    </row>
    <row r="168">
      <c r="A168" s="26" t="n"/>
      <c r="B168" s="26" t="n"/>
      <c r="C168" s="26" t="n"/>
      <c r="D168" s="24" t="n"/>
      <c r="E168" s="37" t="n"/>
      <c r="F168" s="37" t="n"/>
      <c r="G168" s="37" t="n"/>
      <c r="H168" s="26" t="n"/>
    </row>
    <row r="169">
      <c r="A169" s="26" t="n"/>
      <c r="B169" s="26" t="n"/>
      <c r="C169" s="26" t="n"/>
      <c r="D169" s="24" t="n"/>
      <c r="E169" s="37" t="n"/>
      <c r="F169" s="37" t="n"/>
      <c r="G169" s="37" t="n"/>
      <c r="H169" s="26" t="n"/>
    </row>
    <row r="170">
      <c r="A170" s="26" t="n"/>
      <c r="B170" s="26" t="n"/>
      <c r="C170" s="26" t="n"/>
      <c r="D170" s="24" t="n"/>
      <c r="E170" s="37" t="n"/>
      <c r="F170" s="37" t="n"/>
      <c r="G170" s="37" t="n"/>
      <c r="H170" s="26" t="n"/>
    </row>
    <row r="171">
      <c r="A171" s="26" t="n"/>
      <c r="B171" s="26" t="n"/>
      <c r="C171" s="26" t="n"/>
      <c r="D171" s="24" t="n"/>
      <c r="E171" s="37" t="n"/>
      <c r="F171" s="37" t="n"/>
      <c r="G171" s="37" t="n"/>
      <c r="H171" s="26" t="n"/>
    </row>
    <row r="172">
      <c r="A172" s="26" t="n"/>
      <c r="B172" s="26" t="n"/>
      <c r="C172" s="26" t="n"/>
      <c r="D172" s="24" t="n"/>
      <c r="E172" s="37" t="n"/>
      <c r="F172" s="37" t="n"/>
      <c r="G172" s="37" t="n"/>
      <c r="H172" s="26" t="n"/>
    </row>
    <row r="173">
      <c r="A173" s="26" t="n"/>
      <c r="B173" s="26" t="n"/>
      <c r="C173" s="26" t="n"/>
      <c r="D173" s="24" t="n"/>
      <c r="E173" s="37" t="n"/>
      <c r="F173" s="37" t="n"/>
      <c r="G173" s="37" t="n"/>
      <c r="H173" s="26" t="n"/>
    </row>
    <row r="174">
      <c r="A174" s="26" t="n"/>
      <c r="B174" s="26" t="n"/>
      <c r="C174" s="26" t="n"/>
      <c r="D174" s="24" t="n"/>
      <c r="E174" s="37" t="n"/>
      <c r="F174" s="37" t="n"/>
      <c r="G174" s="37" t="n"/>
      <c r="H174" s="26" t="n"/>
    </row>
    <row r="175">
      <c r="A175" s="26" t="n"/>
      <c r="B175" s="26" t="n"/>
      <c r="C175" s="26" t="n"/>
      <c r="D175" s="24" t="n"/>
      <c r="E175" s="37" t="n"/>
      <c r="F175" s="37" t="n"/>
      <c r="G175" s="37" t="n"/>
      <c r="H175" s="26" t="n"/>
    </row>
    <row r="176">
      <c r="A176" s="26" t="n"/>
      <c r="B176" s="26" t="n"/>
      <c r="C176" s="26" t="n"/>
      <c r="D176" s="24" t="n"/>
      <c r="E176" s="37" t="n"/>
      <c r="F176" s="37" t="n"/>
      <c r="G176" s="37" t="n"/>
      <c r="H176" s="26" t="n"/>
    </row>
    <row r="177">
      <c r="A177" s="26" t="n"/>
      <c r="B177" s="26" t="n"/>
      <c r="C177" s="26" t="n"/>
      <c r="D177" s="24" t="n"/>
      <c r="E177" s="37" t="n"/>
      <c r="F177" s="37" t="n"/>
      <c r="G177" s="37" t="n"/>
      <c r="H177" s="26" t="n"/>
    </row>
    <row r="178">
      <c r="A178" s="26" t="n"/>
      <c r="B178" s="26" t="n"/>
      <c r="C178" s="26" t="n"/>
      <c r="D178" s="24" t="n"/>
      <c r="E178" s="37" t="n"/>
      <c r="F178" s="37" t="n"/>
      <c r="G178" s="37" t="n"/>
      <c r="H178" s="26" t="n"/>
    </row>
    <row r="179">
      <c r="A179" s="26" t="n"/>
      <c r="B179" s="26" t="n"/>
      <c r="C179" s="26" t="n"/>
      <c r="D179" s="24" t="n"/>
      <c r="E179" s="37" t="n"/>
      <c r="F179" s="37" t="n"/>
      <c r="G179" s="37" t="n"/>
      <c r="H179" s="26" t="n"/>
    </row>
    <row r="180">
      <c r="A180" s="26" t="n"/>
      <c r="B180" s="26" t="n"/>
      <c r="C180" s="26" t="n"/>
      <c r="D180" s="24" t="n"/>
      <c r="E180" s="37" t="n"/>
      <c r="F180" s="37" t="n"/>
      <c r="G180" s="37" t="n"/>
      <c r="H180" s="26" t="n"/>
    </row>
    <row r="181">
      <c r="A181" s="26" t="n"/>
      <c r="B181" s="26" t="n"/>
      <c r="C181" s="26" t="n"/>
      <c r="D181" s="24" t="n"/>
      <c r="E181" s="37" t="n"/>
      <c r="F181" s="37" t="n"/>
      <c r="G181" s="37" t="n"/>
      <c r="H181" s="26" t="n"/>
    </row>
    <row r="182">
      <c r="A182" s="26" t="n"/>
      <c r="B182" s="26" t="n"/>
      <c r="C182" s="26" t="n"/>
      <c r="D182" s="24" t="n"/>
      <c r="E182" s="37" t="n"/>
      <c r="F182" s="37" t="n"/>
      <c r="G182" s="37" t="n"/>
      <c r="H182" s="26" t="n"/>
    </row>
    <row r="183">
      <c r="A183" s="26" t="n"/>
      <c r="B183" s="26" t="n"/>
      <c r="C183" s="26" t="n"/>
      <c r="D183" s="24" t="n"/>
      <c r="E183" s="37" t="n"/>
      <c r="F183" s="37" t="n"/>
      <c r="G183" s="37" t="n"/>
      <c r="H183" s="26" t="n"/>
    </row>
    <row r="184">
      <c r="A184" s="26" t="n"/>
      <c r="B184" s="26" t="n"/>
      <c r="C184" s="26" t="n"/>
      <c r="D184" s="24" t="n"/>
      <c r="E184" s="37" t="n"/>
      <c r="F184" s="37" t="n"/>
      <c r="G184" s="37" t="n"/>
      <c r="H184" s="26" t="n"/>
    </row>
    <row r="185">
      <c r="A185" s="26" t="n"/>
      <c r="B185" s="26" t="n"/>
      <c r="C185" s="26" t="n"/>
      <c r="D185" s="24" t="n"/>
      <c r="E185" s="37" t="n"/>
      <c r="F185" s="37" t="n"/>
      <c r="G185" s="37" t="n"/>
      <c r="H185" s="26" t="n"/>
    </row>
    <row r="186">
      <c r="A186" s="26" t="n"/>
      <c r="B186" s="26" t="n"/>
      <c r="C186" s="26" t="n"/>
      <c r="D186" s="24" t="n"/>
      <c r="E186" s="37" t="n"/>
      <c r="F186" s="37" t="n"/>
      <c r="G186" s="37" t="n"/>
      <c r="H186" s="26" t="n"/>
    </row>
    <row r="187">
      <c r="A187" s="26" t="n"/>
      <c r="B187" s="26" t="n"/>
      <c r="C187" s="26" t="n"/>
      <c r="D187" s="24" t="n"/>
      <c r="E187" s="37" t="n"/>
      <c r="F187" s="37" t="n"/>
      <c r="G187" s="37" t="n"/>
      <c r="H187" s="26" t="n"/>
    </row>
    <row r="188">
      <c r="A188" s="26" t="n"/>
      <c r="B188" s="26" t="n"/>
      <c r="C188" s="26" t="n"/>
      <c r="D188" s="24" t="n"/>
      <c r="E188" s="37" t="n"/>
      <c r="F188" s="37" t="n"/>
      <c r="G188" s="37" t="n"/>
      <c r="H188" s="26" t="n"/>
    </row>
    <row r="189">
      <c r="A189" s="26" t="n"/>
      <c r="B189" s="26" t="n"/>
      <c r="C189" s="26" t="n"/>
      <c r="D189" s="24" t="n"/>
      <c r="E189" s="37" t="n"/>
      <c r="F189" s="37" t="n"/>
      <c r="G189" s="37" t="n"/>
      <c r="H189" s="26" t="n"/>
    </row>
    <row r="190">
      <c r="A190" s="26" t="n"/>
      <c r="B190" s="26" t="n"/>
      <c r="C190" s="26" t="n"/>
      <c r="D190" s="24" t="n"/>
      <c r="E190" s="37" t="n"/>
      <c r="F190" s="37" t="n"/>
      <c r="G190" s="37" t="n"/>
      <c r="H190" s="26" t="n"/>
    </row>
    <row r="191">
      <c r="A191" s="26" t="n"/>
      <c r="B191" s="26" t="n"/>
      <c r="C191" s="26" t="n"/>
      <c r="D191" s="24" t="n"/>
      <c r="E191" s="37" t="n"/>
      <c r="F191" s="37" t="n"/>
      <c r="G191" s="37" t="n"/>
      <c r="H191" s="26" t="n"/>
    </row>
    <row r="192">
      <c r="A192" s="26" t="n"/>
      <c r="B192" s="26" t="n"/>
      <c r="C192" s="26" t="n"/>
      <c r="D192" s="24" t="n"/>
      <c r="E192" s="37" t="n"/>
      <c r="F192" s="37" t="n"/>
      <c r="G192" s="37" t="n"/>
      <c r="H192" s="26" t="n"/>
    </row>
    <row r="193">
      <c r="A193" s="26" t="n"/>
      <c r="B193" s="26" t="n"/>
      <c r="C193" s="26" t="n"/>
      <c r="D193" s="24" t="n"/>
      <c r="E193" s="37" t="n"/>
      <c r="F193" s="37" t="n"/>
      <c r="G193" s="37" t="n"/>
      <c r="H193" s="26" t="n"/>
    </row>
    <row r="194">
      <c r="A194" s="26" t="n"/>
      <c r="B194" s="26" t="n"/>
      <c r="C194" s="26" t="n"/>
      <c r="D194" s="24" t="n"/>
      <c r="E194" s="37" t="n"/>
      <c r="F194" s="37" t="n"/>
      <c r="G194" s="37" t="n"/>
      <c r="H194" s="26" t="n"/>
    </row>
    <row r="195">
      <c r="A195" s="26" t="n"/>
      <c r="B195" s="26" t="n"/>
      <c r="C195" s="26" t="n"/>
      <c r="D195" s="24" t="n"/>
      <c r="E195" s="37" t="n"/>
      <c r="F195" s="37" t="n"/>
      <c r="G195" s="37" t="n"/>
      <c r="H195" s="26" t="n"/>
    </row>
    <row r="196">
      <c r="A196" s="26" t="n"/>
      <c r="B196" s="26" t="n"/>
      <c r="C196" s="26" t="n"/>
      <c r="D196" s="24" t="n"/>
      <c r="E196" s="37" t="n"/>
      <c r="F196" s="37" t="n"/>
      <c r="G196" s="37" t="n"/>
      <c r="H196" s="26" t="n"/>
    </row>
    <row r="197">
      <c r="A197" s="26" t="n"/>
      <c r="B197" s="26" t="n"/>
      <c r="C197" s="26" t="n"/>
      <c r="D197" s="24" t="n"/>
      <c r="E197" s="37" t="n"/>
      <c r="F197" s="37" t="n"/>
      <c r="G197" s="37" t="n"/>
      <c r="H197" s="26" t="n"/>
    </row>
    <row r="198">
      <c r="A198" s="26" t="n"/>
      <c r="B198" s="26" t="n"/>
      <c r="C198" s="26" t="n"/>
      <c r="D198" s="24" t="n"/>
      <c r="E198" s="37" t="n"/>
      <c r="F198" s="37" t="n"/>
      <c r="G198" s="37" t="n"/>
      <c r="H198" s="26" t="n"/>
    </row>
    <row r="199">
      <c r="A199" s="26" t="n"/>
      <c r="B199" s="26" t="n"/>
      <c r="C199" s="26" t="n"/>
      <c r="D199" s="24" t="n"/>
      <c r="E199" s="37" t="n"/>
      <c r="F199" s="37" t="n"/>
      <c r="G199" s="37" t="n"/>
      <c r="H199" s="26" t="n"/>
    </row>
    <row r="200">
      <c r="A200" s="26" t="n"/>
      <c r="B200" s="26" t="n"/>
      <c r="C200" s="26" t="n"/>
      <c r="D200" s="24" t="n"/>
      <c r="E200" s="37" t="n"/>
      <c r="F200" s="37" t="n"/>
      <c r="G200" s="37" t="n"/>
      <c r="H200" s="26" t="n"/>
    </row>
    <row r="201">
      <c r="A201" s="26" t="n"/>
      <c r="B201" s="26" t="n"/>
      <c r="C201" s="26" t="n"/>
      <c r="D201" s="24" t="n"/>
      <c r="E201" s="37" t="n"/>
      <c r="F201" s="37" t="n"/>
      <c r="G201" s="37" t="n"/>
      <c r="H201" s="26" t="n"/>
    </row>
    <row r="202">
      <c r="A202" s="26" t="n"/>
      <c r="B202" s="26" t="n"/>
      <c r="C202" s="26" t="n"/>
      <c r="D202" s="24" t="n"/>
      <c r="E202" s="37" t="n"/>
      <c r="F202" s="37" t="n"/>
      <c r="G202" s="37" t="n"/>
      <c r="H202" s="26" t="n"/>
    </row>
    <row r="203">
      <c r="A203" s="26" t="n"/>
      <c r="B203" s="26" t="n"/>
      <c r="C203" s="26" t="n"/>
      <c r="D203" s="24" t="n"/>
      <c r="E203" s="37" t="n"/>
      <c r="F203" s="37" t="n"/>
      <c r="G203" s="37" t="n"/>
      <c r="H203" s="26" t="n"/>
    </row>
    <row r="204">
      <c r="A204" s="26" t="n"/>
      <c r="B204" s="26" t="n"/>
      <c r="C204" s="26" t="n"/>
      <c r="D204" s="24" t="n"/>
      <c r="E204" s="37" t="n"/>
      <c r="F204" s="37" t="n"/>
      <c r="G204" s="37" t="n"/>
      <c r="H204" s="26" t="n"/>
    </row>
    <row r="205">
      <c r="A205" s="26" t="n"/>
      <c r="B205" s="26" t="n"/>
      <c r="C205" s="26" t="n"/>
      <c r="D205" s="24" t="n"/>
      <c r="E205" s="37" t="n"/>
      <c r="F205" s="37" t="n"/>
      <c r="G205" s="37" t="n"/>
      <c r="H205" s="26" t="n"/>
    </row>
    <row r="206">
      <c r="A206" s="26" t="n"/>
      <c r="B206" s="26" t="n"/>
      <c r="C206" s="26" t="n"/>
      <c r="D206" s="24" t="n"/>
      <c r="E206" s="37" t="n"/>
      <c r="F206" s="37" t="n"/>
      <c r="G206" s="37" t="n"/>
      <c r="H206" s="26" t="n"/>
    </row>
    <row r="207">
      <c r="A207" s="26" t="n"/>
      <c r="B207" s="26" t="n"/>
      <c r="C207" s="26" t="n"/>
      <c r="D207" s="24" t="n"/>
      <c r="E207" s="37" t="n"/>
      <c r="F207" s="37" t="n"/>
      <c r="G207" s="37" t="n"/>
      <c r="H207" s="26" t="n"/>
    </row>
    <row r="208">
      <c r="A208" s="26" t="n"/>
      <c r="B208" s="26" t="n"/>
      <c r="C208" s="26" t="n"/>
      <c r="D208" s="24" t="n"/>
      <c r="E208" s="37" t="n"/>
      <c r="F208" s="37" t="n"/>
      <c r="G208" s="37" t="n"/>
      <c r="H208" s="26" t="n"/>
    </row>
    <row r="209">
      <c r="A209" s="26" t="n"/>
      <c r="B209" s="26" t="n"/>
      <c r="C209" s="26" t="n"/>
      <c r="D209" s="24" t="n"/>
      <c r="E209" s="37" t="n"/>
      <c r="F209" s="37" t="n"/>
      <c r="G209" s="37" t="n"/>
      <c r="H209" s="26" t="n"/>
    </row>
    <row r="210">
      <c r="A210" s="26" t="n"/>
      <c r="B210" s="26" t="n"/>
      <c r="C210" s="26" t="n"/>
      <c r="D210" s="24" t="n"/>
      <c r="E210" s="37" t="n"/>
      <c r="F210" s="37" t="n"/>
      <c r="G210" s="37" t="n"/>
      <c r="H210" s="26" t="n"/>
    </row>
    <row r="211">
      <c r="A211" s="26" t="n"/>
      <c r="B211" s="26" t="n"/>
      <c r="C211" s="26" t="n"/>
      <c r="D211" s="24" t="n"/>
      <c r="E211" s="37" t="n"/>
      <c r="F211" s="37" t="n"/>
      <c r="G211" s="37" t="n"/>
      <c r="H211" s="26" t="n"/>
    </row>
    <row r="212">
      <c r="A212" s="26" t="n"/>
      <c r="B212" s="26" t="n"/>
      <c r="C212" s="26" t="n"/>
      <c r="D212" s="24" t="n"/>
      <c r="E212" s="37" t="n"/>
      <c r="F212" s="37" t="n"/>
      <c r="G212" s="37" t="n"/>
      <c r="H212" s="26" t="n"/>
    </row>
    <row r="213">
      <c r="A213" s="26" t="n"/>
      <c r="B213" s="26" t="n"/>
      <c r="C213" s="26" t="n"/>
      <c r="D213" s="24" t="n"/>
      <c r="E213" s="37" t="n"/>
      <c r="F213" s="37" t="n"/>
      <c r="G213" s="37" t="n"/>
      <c r="H213" s="26" t="n"/>
    </row>
    <row r="214">
      <c r="A214" s="26" t="n"/>
      <c r="B214" s="26" t="n"/>
      <c r="C214" s="26" t="n"/>
      <c r="D214" s="24" t="n"/>
      <c r="E214" s="37" t="n"/>
      <c r="F214" s="37" t="n"/>
      <c r="G214" s="37" t="n"/>
      <c r="H214" s="26" t="n"/>
    </row>
    <row r="215">
      <c r="A215" s="26" t="n"/>
      <c r="B215" s="26" t="n"/>
      <c r="C215" s="26" t="n"/>
      <c r="D215" s="24" t="n"/>
      <c r="E215" s="37" t="n"/>
      <c r="F215" s="37" t="n"/>
      <c r="G215" s="37" t="n"/>
      <c r="H215" s="26" t="n"/>
    </row>
    <row r="216">
      <c r="A216" s="26" t="n"/>
      <c r="B216" s="26" t="n"/>
      <c r="C216" s="26" t="n"/>
      <c r="D216" s="24" t="n"/>
      <c r="E216" s="37" t="n"/>
      <c r="F216" s="37" t="n"/>
      <c r="G216" s="37" t="n"/>
      <c r="H216" s="26" t="n"/>
    </row>
    <row r="217">
      <c r="A217" s="26" t="n"/>
      <c r="B217" s="26" t="n"/>
      <c r="C217" s="26" t="n"/>
      <c r="D217" s="24" t="n"/>
      <c r="E217" s="37" t="n"/>
      <c r="F217" s="37" t="n"/>
      <c r="G217" s="37" t="n"/>
      <c r="H217" s="26" t="n"/>
    </row>
    <row r="218">
      <c r="A218" s="26" t="n"/>
      <c r="B218" s="26" t="n"/>
      <c r="C218" s="26" t="n"/>
      <c r="D218" s="24" t="n"/>
      <c r="E218" s="37" t="n"/>
      <c r="F218" s="37" t="n"/>
      <c r="G218" s="37" t="n"/>
      <c r="H218" s="26" t="n"/>
    </row>
    <row r="219">
      <c r="A219" s="26" t="n"/>
      <c r="B219" s="26" t="n"/>
      <c r="C219" s="26" t="n"/>
      <c r="D219" s="24" t="n"/>
      <c r="E219" s="37" t="n"/>
      <c r="F219" s="37" t="n"/>
      <c r="G219" s="37" t="n"/>
      <c r="H219" s="26" t="n"/>
    </row>
    <row r="220">
      <c r="A220" s="26" t="n"/>
      <c r="B220" s="26" t="n"/>
      <c r="C220" s="26" t="n"/>
      <c r="D220" s="24" t="n"/>
      <c r="E220" s="37" t="n"/>
      <c r="F220" s="37" t="n"/>
      <c r="G220" s="37" t="n"/>
      <c r="H220" s="26" t="n"/>
    </row>
    <row r="221">
      <c r="A221" s="26" t="n"/>
      <c r="B221" s="26" t="n"/>
      <c r="C221" s="26" t="n"/>
      <c r="D221" s="24" t="n"/>
      <c r="E221" s="37" t="n"/>
      <c r="F221" s="37" t="n"/>
      <c r="G221" s="37" t="n"/>
      <c r="H221" s="26" t="n"/>
    </row>
    <row r="222">
      <c r="A222" s="26" t="n"/>
      <c r="B222" s="26" t="n"/>
      <c r="C222" s="26" t="n"/>
      <c r="D222" s="24" t="n"/>
      <c r="E222" s="37" t="n"/>
      <c r="F222" s="37" t="n"/>
      <c r="G222" s="37" t="n"/>
      <c r="H222" s="26" t="n"/>
    </row>
    <row r="223">
      <c r="A223" s="26" t="n"/>
      <c r="B223" s="26" t="n"/>
      <c r="C223" s="26" t="n"/>
      <c r="D223" s="24" t="n"/>
      <c r="E223" s="37" t="n"/>
      <c r="F223" s="37" t="n"/>
      <c r="G223" s="37" t="n"/>
      <c r="H223" s="26" t="n"/>
    </row>
    <row r="224">
      <c r="A224" s="26" t="n"/>
      <c r="B224" s="26" t="n"/>
      <c r="C224" s="26" t="n"/>
      <c r="D224" s="24" t="n"/>
      <c r="E224" s="37" t="n"/>
      <c r="F224" s="37" t="n"/>
      <c r="G224" s="37" t="n"/>
      <c r="H224" s="26" t="n"/>
    </row>
    <row r="225">
      <c r="A225" s="26" t="n"/>
      <c r="B225" s="26" t="n"/>
      <c r="C225" s="26" t="n"/>
      <c r="D225" s="24" t="n"/>
      <c r="E225" s="37" t="n"/>
      <c r="F225" s="37" t="n"/>
      <c r="G225" s="37" t="n"/>
      <c r="H225" s="26" t="n"/>
    </row>
    <row r="226">
      <c r="A226" s="26" t="n"/>
      <c r="B226" s="26" t="n"/>
      <c r="C226" s="26" t="n"/>
      <c r="D226" s="24" t="n"/>
      <c r="E226" s="37" t="n"/>
      <c r="F226" s="37" t="n"/>
      <c r="G226" s="37" t="n"/>
      <c r="H226" s="26" t="n"/>
    </row>
    <row r="227">
      <c r="A227" s="26" t="n"/>
      <c r="B227" s="26" t="n"/>
      <c r="C227" s="26" t="n"/>
      <c r="D227" s="24" t="n"/>
      <c r="E227" s="37" t="n"/>
      <c r="F227" s="37" t="n"/>
      <c r="G227" s="37" t="n"/>
      <c r="H227" s="26" t="n"/>
    </row>
    <row r="228">
      <c r="A228" s="26" t="n"/>
      <c r="B228" s="26" t="n"/>
      <c r="C228" s="26" t="n"/>
      <c r="D228" s="24" t="n"/>
      <c r="E228" s="37" t="n"/>
      <c r="F228" s="37" t="n"/>
      <c r="G228" s="37" t="n"/>
      <c r="H228" s="26" t="n"/>
    </row>
    <row r="229">
      <c r="A229" s="26" t="n"/>
      <c r="B229" s="26" t="n"/>
      <c r="C229" s="26" t="n"/>
      <c r="D229" s="24" t="n"/>
      <c r="E229" s="37" t="n"/>
      <c r="F229" s="37" t="n"/>
      <c r="G229" s="37" t="n"/>
      <c r="H229" s="26" t="n"/>
    </row>
    <row r="230">
      <c r="A230" s="26" t="n"/>
      <c r="B230" s="26" t="n"/>
      <c r="C230" s="26" t="n"/>
      <c r="D230" s="24" t="n"/>
      <c r="E230" s="37" t="n"/>
      <c r="F230" s="37" t="n"/>
      <c r="G230" s="37" t="n"/>
      <c r="H230" s="26" t="n"/>
    </row>
    <row r="231">
      <c r="A231" s="26" t="n"/>
      <c r="B231" s="26" t="n"/>
      <c r="C231" s="26" t="n"/>
      <c r="D231" s="24" t="n"/>
      <c r="E231" s="37" t="n"/>
      <c r="F231" s="37" t="n"/>
      <c r="G231" s="37" t="n"/>
      <c r="H231" s="26" t="n"/>
    </row>
    <row r="232">
      <c r="A232" s="26" t="n"/>
      <c r="B232" s="26" t="n"/>
      <c r="C232" s="26" t="n"/>
      <c r="D232" s="24" t="n"/>
      <c r="E232" s="37" t="n"/>
      <c r="F232" s="37" t="n"/>
      <c r="G232" s="37" t="n"/>
      <c r="H232" s="26" t="n"/>
    </row>
    <row r="233">
      <c r="A233" s="26" t="n"/>
      <c r="B233" s="26" t="n"/>
      <c r="C233" s="26" t="n"/>
      <c r="D233" s="24" t="n"/>
      <c r="E233" s="37" t="n"/>
      <c r="F233" s="37" t="n"/>
      <c r="G233" s="37" t="n"/>
      <c r="H233" s="26" t="n"/>
    </row>
    <row r="234">
      <c r="A234" s="26" t="n"/>
      <c r="B234" s="26" t="n"/>
      <c r="C234" s="26" t="n"/>
      <c r="D234" s="24" t="n"/>
      <c r="E234" s="37" t="n"/>
      <c r="F234" s="37" t="n"/>
      <c r="G234" s="37" t="n"/>
      <c r="H234" s="26" t="n"/>
    </row>
    <row r="235">
      <c r="A235" s="26" t="n"/>
      <c r="B235" s="26" t="n"/>
      <c r="C235" s="26" t="n"/>
      <c r="D235" s="24" t="n"/>
      <c r="E235" s="37" t="n"/>
      <c r="F235" s="37" t="n"/>
      <c r="G235" s="37" t="n"/>
      <c r="H235" s="26" t="n"/>
    </row>
    <row r="236">
      <c r="A236" s="26" t="n"/>
      <c r="B236" s="26" t="n"/>
      <c r="C236" s="26" t="n"/>
      <c r="D236" s="24" t="n"/>
      <c r="E236" s="37" t="n"/>
      <c r="F236" s="37" t="n"/>
      <c r="G236" s="37" t="n"/>
      <c r="H236" s="26" t="n"/>
    </row>
    <row r="237">
      <c r="A237" s="26" t="n"/>
      <c r="B237" s="26" t="n"/>
      <c r="C237" s="26" t="n"/>
      <c r="D237" s="24" t="n"/>
      <c r="E237" s="37" t="n"/>
      <c r="F237" s="37" t="n"/>
      <c r="G237" s="37" t="n"/>
      <c r="H237" s="26" t="n"/>
    </row>
    <row r="238">
      <c r="A238" s="26" t="n"/>
      <c r="B238" s="26" t="n"/>
      <c r="C238" s="26" t="n"/>
      <c r="D238" s="24" t="n"/>
      <c r="E238" s="37" t="n"/>
      <c r="F238" s="37" t="n"/>
      <c r="G238" s="37" t="n"/>
      <c r="H238" s="26" t="n"/>
    </row>
    <row r="239">
      <c r="A239" s="26" t="n"/>
      <c r="B239" s="26" t="n"/>
      <c r="C239" s="26" t="n"/>
      <c r="D239" s="24" t="n"/>
      <c r="E239" s="37" t="n"/>
      <c r="F239" s="37" t="n"/>
      <c r="G239" s="37" t="n"/>
      <c r="H239" s="26" t="n"/>
    </row>
    <row r="240">
      <c r="A240" s="26" t="n"/>
      <c r="B240" s="26" t="n"/>
      <c r="C240" s="26" t="n"/>
      <c r="D240" s="24" t="n"/>
      <c r="E240" s="37" t="n"/>
      <c r="F240" s="37" t="n"/>
      <c r="G240" s="37" t="n"/>
      <c r="H240" s="26" t="n"/>
    </row>
    <row r="241">
      <c r="A241" s="26" t="n"/>
      <c r="B241" s="26" t="n"/>
      <c r="C241" s="26" t="n"/>
      <c r="D241" s="24" t="n"/>
      <c r="E241" s="37" t="n"/>
      <c r="F241" s="37" t="n"/>
      <c r="G241" s="37" t="n"/>
      <c r="H241" s="26" t="n"/>
    </row>
    <row r="242">
      <c r="A242" s="26" t="n"/>
      <c r="B242" s="26" t="n"/>
      <c r="C242" s="26" t="n"/>
      <c r="D242" s="24" t="n"/>
      <c r="E242" s="37" t="n"/>
      <c r="F242" s="37" t="n"/>
      <c r="G242" s="37" t="n"/>
      <c r="H242" s="26" t="n"/>
    </row>
    <row r="243">
      <c r="A243" s="26" t="n"/>
      <c r="B243" s="26" t="n"/>
      <c r="C243" s="26" t="n"/>
      <c r="D243" s="24" t="n"/>
      <c r="E243" s="37" t="n"/>
      <c r="F243" s="37" t="n"/>
      <c r="G243" s="37" t="n"/>
      <c r="H243" s="26" t="n"/>
    </row>
    <row r="244">
      <c r="A244" s="26" t="n"/>
      <c r="B244" s="26" t="n"/>
      <c r="C244" s="26" t="n"/>
      <c r="D244" s="24" t="n"/>
      <c r="E244" s="37" t="n"/>
      <c r="F244" s="37" t="n"/>
      <c r="G244" s="37" t="n"/>
      <c r="H244" s="26" t="n"/>
    </row>
    <row r="245">
      <c r="A245" s="26" t="n"/>
      <c r="B245" s="26" t="n"/>
      <c r="C245" s="26" t="n"/>
      <c r="D245" s="24" t="n"/>
      <c r="E245" s="37" t="n"/>
      <c r="F245" s="37" t="n"/>
      <c r="G245" s="37" t="n"/>
      <c r="H245" s="26" t="n"/>
    </row>
    <row r="246">
      <c r="A246" s="26" t="n"/>
      <c r="B246" s="26" t="n"/>
      <c r="C246" s="26" t="n"/>
      <c r="D246" s="24" t="n"/>
      <c r="E246" s="37" t="n"/>
      <c r="F246" s="37" t="n"/>
      <c r="G246" s="37" t="n"/>
      <c r="H246" s="26" t="n"/>
    </row>
    <row r="247">
      <c r="A247" s="26" t="n"/>
      <c r="B247" s="26" t="n"/>
      <c r="C247" s="26" t="n"/>
      <c r="D247" s="24" t="n"/>
      <c r="E247" s="37" t="n"/>
      <c r="F247" s="37" t="n"/>
      <c r="G247" s="37" t="n"/>
      <c r="H247" s="26" t="n"/>
    </row>
    <row r="248">
      <c r="A248" s="26" t="n"/>
      <c r="B248" s="26" t="n"/>
      <c r="C248" s="26" t="n"/>
      <c r="D248" s="24" t="n"/>
      <c r="E248" s="37" t="n"/>
      <c r="F248" s="37" t="n"/>
      <c r="G248" s="37" t="n"/>
      <c r="H248" s="26" t="n"/>
    </row>
    <row r="249">
      <c r="A249" s="26" t="n"/>
      <c r="B249" s="26" t="n"/>
      <c r="C249" s="26" t="n"/>
      <c r="D249" s="24" t="n"/>
      <c r="E249" s="37" t="n"/>
      <c r="F249" s="37" t="n"/>
      <c r="G249" s="37" t="n"/>
      <c r="H249" s="26" t="n"/>
    </row>
    <row r="250">
      <c r="A250" s="26" t="n"/>
      <c r="B250" s="26" t="n"/>
      <c r="C250" s="26" t="n"/>
      <c r="D250" s="24" t="n"/>
      <c r="E250" s="37" t="n"/>
      <c r="F250" s="37" t="n"/>
      <c r="G250" s="37" t="n"/>
      <c r="H250" s="26" t="n"/>
    </row>
    <row r="251">
      <c r="A251" s="26" t="n"/>
      <c r="B251" s="26" t="n"/>
      <c r="C251" s="26" t="n"/>
      <c r="D251" s="24" t="n"/>
      <c r="E251" s="37" t="n"/>
      <c r="F251" s="37" t="n"/>
      <c r="G251" s="37" t="n"/>
      <c r="H251" s="26" t="n"/>
    </row>
    <row r="252">
      <c r="A252" s="26" t="n"/>
      <c r="B252" s="26" t="n"/>
      <c r="C252" s="26" t="n"/>
      <c r="D252" s="24" t="n"/>
      <c r="E252" s="37" t="n"/>
      <c r="F252" s="37" t="n"/>
      <c r="G252" s="37" t="n"/>
      <c r="H252" s="26" t="n"/>
    </row>
    <row r="253">
      <c r="A253" s="26" t="n"/>
      <c r="B253" s="26" t="n"/>
      <c r="C253" s="26" t="n"/>
      <c r="D253" s="24" t="n"/>
      <c r="E253" s="37" t="n"/>
      <c r="F253" s="37" t="n"/>
      <c r="G253" s="37" t="n"/>
      <c r="H253" s="26" t="n"/>
    </row>
    <row r="254">
      <c r="A254" s="26" t="n"/>
      <c r="B254" s="26" t="n"/>
      <c r="C254" s="26" t="n"/>
      <c r="D254" s="24" t="n"/>
      <c r="E254" s="37" t="n"/>
      <c r="F254" s="37" t="n"/>
      <c r="G254" s="37" t="n"/>
      <c r="H254" s="26" t="n"/>
    </row>
    <row r="255">
      <c r="A255" s="26" t="n"/>
      <c r="B255" s="26" t="n"/>
      <c r="C255" s="26" t="n"/>
      <c r="D255" s="24" t="n"/>
      <c r="E255" s="37" t="n"/>
      <c r="F255" s="37" t="n"/>
      <c r="G255" s="37" t="n"/>
      <c r="H255" s="26" t="n"/>
    </row>
    <row r="256">
      <c r="A256" s="26" t="n"/>
      <c r="B256" s="26" t="n"/>
      <c r="C256" s="26" t="n"/>
      <c r="D256" s="24" t="n"/>
      <c r="E256" s="37" t="n"/>
      <c r="F256" s="37" t="n"/>
      <c r="G256" s="37" t="n"/>
      <c r="H256" s="26" t="n"/>
    </row>
    <row r="257">
      <c r="A257" s="26" t="n"/>
      <c r="B257" s="26" t="n"/>
      <c r="C257" s="26" t="n"/>
      <c r="D257" s="24" t="n"/>
      <c r="E257" s="37" t="n"/>
      <c r="F257" s="37" t="n"/>
      <c r="G257" s="37" t="n"/>
      <c r="H257" s="26" t="n"/>
    </row>
    <row r="258">
      <c r="A258" s="26" t="n"/>
      <c r="B258" s="26" t="n"/>
      <c r="C258" s="26" t="n"/>
      <c r="D258" s="24" t="n"/>
      <c r="E258" s="37" t="n"/>
      <c r="F258" s="37" t="n"/>
      <c r="G258" s="37" t="n"/>
      <c r="H258" s="26" t="n"/>
    </row>
    <row r="259">
      <c r="A259" s="26" t="n"/>
      <c r="B259" s="26" t="n"/>
      <c r="C259" s="26" t="n"/>
      <c r="D259" s="24" t="n"/>
      <c r="E259" s="37" t="n"/>
      <c r="F259" s="37" t="n"/>
      <c r="G259" s="37" t="n"/>
      <c r="H259" s="26" t="n"/>
    </row>
    <row r="260">
      <c r="A260" s="26" t="n"/>
      <c r="B260" s="26" t="n"/>
      <c r="C260" s="26" t="n"/>
      <c r="D260" s="24" t="n"/>
      <c r="E260" s="37" t="n"/>
      <c r="F260" s="37" t="n"/>
      <c r="G260" s="37" t="n"/>
      <c r="H260" s="26" t="n"/>
    </row>
    <row r="261">
      <c r="A261" s="26" t="n"/>
      <c r="B261" s="26" t="n"/>
      <c r="C261" s="26" t="n"/>
      <c r="D261" s="24" t="n"/>
      <c r="E261" s="37" t="n"/>
      <c r="F261" s="37" t="n"/>
      <c r="G261" s="37" t="n"/>
      <c r="H261" s="26" t="n"/>
    </row>
    <row r="262">
      <c r="A262" s="26" t="n"/>
      <c r="B262" s="26" t="n"/>
      <c r="C262" s="26" t="n"/>
      <c r="D262" s="24" t="n"/>
      <c r="E262" s="37" t="n"/>
      <c r="F262" s="37" t="n"/>
      <c r="G262" s="37" t="n"/>
      <c r="H262" s="26" t="n"/>
    </row>
    <row r="263">
      <c r="A263" s="26" t="n"/>
      <c r="B263" s="26" t="n"/>
      <c r="C263" s="26" t="n"/>
      <c r="D263" s="24" t="n"/>
      <c r="E263" s="37" t="n"/>
      <c r="F263" s="37" t="n"/>
      <c r="G263" s="37" t="n"/>
      <c r="H263" s="26" t="n"/>
    </row>
    <row r="264">
      <c r="A264" s="26" t="n"/>
      <c r="B264" s="26" t="n"/>
      <c r="C264" s="26" t="n"/>
      <c r="D264" s="24" t="n"/>
      <c r="E264" s="37" t="n"/>
      <c r="F264" s="37" t="n"/>
      <c r="G264" s="37" t="n"/>
      <c r="H264" s="26" t="n"/>
    </row>
    <row r="265">
      <c r="A265" s="26" t="n"/>
      <c r="B265" s="26" t="n"/>
      <c r="C265" s="26" t="n"/>
      <c r="D265" s="24" t="n"/>
      <c r="E265" s="37" t="n"/>
      <c r="F265" s="37" t="n"/>
      <c r="G265" s="37" t="n"/>
      <c r="H265" s="26" t="n"/>
    </row>
    <row r="266">
      <c r="A266" s="26" t="n"/>
      <c r="B266" s="26" t="n"/>
      <c r="C266" s="26" t="n"/>
      <c r="D266" s="24" t="n"/>
      <c r="E266" s="37" t="n"/>
      <c r="F266" s="37" t="n"/>
      <c r="G266" s="37" t="n"/>
      <c r="H266" s="26" t="n"/>
    </row>
    <row r="267">
      <c r="A267" s="26" t="n"/>
      <c r="B267" s="26" t="n"/>
      <c r="C267" s="26" t="n"/>
      <c r="D267" s="24" t="n"/>
      <c r="E267" s="37" t="n"/>
      <c r="F267" s="37" t="n"/>
      <c r="G267" s="37" t="n"/>
      <c r="H267" s="26" t="n"/>
    </row>
    <row r="268">
      <c r="A268" s="26" t="n"/>
      <c r="B268" s="26" t="n"/>
      <c r="C268" s="26" t="n"/>
      <c r="D268" s="24" t="n"/>
      <c r="E268" s="37" t="n"/>
      <c r="F268" s="37" t="n"/>
      <c r="G268" s="37" t="n"/>
      <c r="H268" s="26" t="n"/>
    </row>
    <row r="269">
      <c r="A269" s="26" t="n"/>
      <c r="B269" s="26" t="n"/>
      <c r="C269" s="26" t="n"/>
      <c r="D269" s="24" t="n"/>
      <c r="E269" s="37" t="n"/>
      <c r="F269" s="37" t="n"/>
      <c r="G269" s="37" t="n"/>
      <c r="H269" s="26" t="n"/>
    </row>
    <row r="270">
      <c r="A270" s="26" t="n"/>
      <c r="B270" s="26" t="n"/>
      <c r="C270" s="26" t="n"/>
      <c r="D270" s="24" t="n"/>
      <c r="E270" s="37" t="n"/>
      <c r="F270" s="37" t="n"/>
      <c r="G270" s="37" t="n"/>
      <c r="H270" s="26" t="n"/>
    </row>
    <row r="271">
      <c r="A271" s="26" t="n"/>
      <c r="B271" s="26" t="n"/>
      <c r="C271" s="26" t="n"/>
      <c r="D271" s="24" t="n"/>
      <c r="E271" s="37" t="n"/>
      <c r="F271" s="37" t="n"/>
      <c r="G271" s="37" t="n"/>
      <c r="H271" s="26" t="n"/>
    </row>
    <row r="272">
      <c r="A272" s="26" t="n"/>
      <c r="B272" s="26" t="n"/>
      <c r="C272" s="26" t="n"/>
      <c r="D272" s="24" t="n"/>
      <c r="E272" s="37" t="n"/>
      <c r="F272" s="37" t="n"/>
      <c r="G272" s="37" t="n"/>
      <c r="H272" s="26" t="n"/>
    </row>
    <row r="273">
      <c r="A273" s="26" t="n"/>
      <c r="B273" s="26" t="n"/>
      <c r="C273" s="26" t="n"/>
      <c r="D273" s="24" t="n"/>
      <c r="E273" s="37" t="n"/>
      <c r="F273" s="37" t="n"/>
      <c r="G273" s="37" t="n"/>
      <c r="H273" s="26" t="n"/>
    </row>
    <row r="274">
      <c r="A274" s="26" t="n"/>
      <c r="B274" s="26" t="n"/>
      <c r="C274" s="26" t="n"/>
      <c r="D274" s="24" t="n"/>
      <c r="E274" s="37" t="n"/>
      <c r="F274" s="37" t="n"/>
      <c r="G274" s="37" t="n"/>
      <c r="H274" s="26" t="n"/>
    </row>
    <row r="275">
      <c r="A275" s="26" t="n"/>
      <c r="B275" s="26" t="n"/>
      <c r="C275" s="26" t="n"/>
      <c r="D275" s="24" t="n"/>
      <c r="E275" s="37" t="n"/>
      <c r="F275" s="37" t="n"/>
      <c r="G275" s="37" t="n"/>
      <c r="H275" s="26" t="n"/>
    </row>
    <row r="276">
      <c r="A276" s="26" t="n"/>
      <c r="B276" s="26" t="n"/>
      <c r="C276" s="26" t="n"/>
      <c r="D276" s="24" t="n"/>
      <c r="E276" s="37" t="n"/>
      <c r="F276" s="37" t="n"/>
      <c r="G276" s="37" t="n"/>
      <c r="H276" s="26" t="n"/>
    </row>
    <row r="277">
      <c r="A277" s="26" t="n"/>
      <c r="B277" s="26" t="n"/>
      <c r="C277" s="26" t="n"/>
      <c r="D277" s="24" t="n"/>
      <c r="E277" s="37" t="n"/>
      <c r="F277" s="37" t="n"/>
      <c r="G277" s="37" t="n"/>
      <c r="H277" s="26" t="n"/>
    </row>
    <row r="278">
      <c r="A278" s="26" t="n"/>
      <c r="B278" s="26" t="n"/>
      <c r="C278" s="26" t="n"/>
      <c r="D278" s="24" t="n"/>
      <c r="E278" s="37" t="n"/>
      <c r="F278" s="37" t="n"/>
      <c r="G278" s="37" t="n"/>
      <c r="H278" s="26" t="n"/>
    </row>
    <row r="279">
      <c r="A279" s="26" t="n"/>
      <c r="B279" s="26" t="n"/>
      <c r="C279" s="26" t="n"/>
      <c r="D279" s="24" t="n"/>
      <c r="E279" s="37" t="n"/>
      <c r="F279" s="37" t="n"/>
      <c r="G279" s="37" t="n"/>
      <c r="H279" s="26" t="n"/>
    </row>
    <row r="280">
      <c r="A280" s="26" t="n"/>
      <c r="B280" s="26" t="n"/>
      <c r="C280" s="26" t="n"/>
      <c r="D280" s="24" t="n"/>
      <c r="E280" s="37" t="n"/>
      <c r="F280" s="37" t="n"/>
      <c r="G280" s="37" t="n"/>
      <c r="H280" s="26" t="n"/>
    </row>
    <row r="281">
      <c r="A281" s="26" t="n"/>
      <c r="B281" s="26" t="n"/>
      <c r="C281" s="26" t="n"/>
      <c r="D281" s="24" t="n"/>
      <c r="E281" s="37" t="n"/>
      <c r="F281" s="37" t="n"/>
      <c r="G281" s="37" t="n"/>
      <c r="H281" s="26" t="n"/>
    </row>
    <row r="282">
      <c r="A282" s="26" t="n"/>
      <c r="B282" s="26" t="n"/>
      <c r="C282" s="26" t="n"/>
      <c r="D282" s="24" t="n"/>
      <c r="E282" s="37" t="n"/>
      <c r="F282" s="37" t="n"/>
      <c r="G282" s="37" t="n"/>
      <c r="H282" s="26" t="n"/>
    </row>
    <row r="283">
      <c r="A283" s="26" t="n"/>
      <c r="B283" s="26" t="n"/>
      <c r="C283" s="26" t="n"/>
      <c r="D283" s="24" t="n"/>
      <c r="E283" s="37" t="n"/>
      <c r="F283" s="37" t="n"/>
      <c r="G283" s="37" t="n"/>
      <c r="H283" s="26" t="n"/>
    </row>
    <row r="284">
      <c r="A284" s="26" t="n"/>
      <c r="B284" s="26" t="n"/>
      <c r="C284" s="26" t="n"/>
      <c r="D284" s="24" t="n"/>
      <c r="E284" s="37" t="n"/>
      <c r="F284" s="37" t="n"/>
      <c r="G284" s="37" t="n"/>
      <c r="H284" s="26" t="n"/>
    </row>
    <row r="285">
      <c r="A285" s="26" t="n"/>
      <c r="B285" s="26" t="n"/>
      <c r="C285" s="26" t="n"/>
      <c r="D285" s="24" t="n"/>
      <c r="E285" s="37" t="n"/>
      <c r="F285" s="37" t="n"/>
      <c r="G285" s="37" t="n"/>
      <c r="H285" s="26" t="n"/>
    </row>
    <row r="286">
      <c r="A286" s="26" t="n"/>
      <c r="B286" s="26" t="n"/>
      <c r="C286" s="26" t="n"/>
      <c r="D286" s="24" t="n"/>
      <c r="E286" s="37" t="n"/>
      <c r="F286" s="37" t="n"/>
      <c r="G286" s="37" t="n"/>
      <c r="H286" s="26" t="n"/>
    </row>
    <row r="287">
      <c r="A287" s="26" t="n"/>
      <c r="B287" s="26" t="n"/>
      <c r="C287" s="26" t="n"/>
      <c r="D287" s="24" t="n"/>
      <c r="E287" s="37" t="n"/>
      <c r="F287" s="37" t="n"/>
      <c r="G287" s="37" t="n"/>
      <c r="H287" s="26" t="n"/>
    </row>
    <row r="288">
      <c r="A288" s="26" t="n"/>
      <c r="B288" s="26" t="n"/>
      <c r="C288" s="26" t="n"/>
      <c r="D288" s="24" t="n"/>
      <c r="E288" s="37" t="n"/>
      <c r="F288" s="37" t="n"/>
      <c r="G288" s="37" t="n"/>
      <c r="H288" s="26" t="n"/>
    </row>
    <row r="289">
      <c r="A289" s="26" t="n"/>
      <c r="B289" s="26" t="n"/>
      <c r="C289" s="26" t="n"/>
      <c r="D289" s="24" t="n"/>
      <c r="E289" s="37" t="n"/>
      <c r="F289" s="37" t="n"/>
      <c r="G289" s="37" t="n"/>
      <c r="H289" s="26" t="n"/>
    </row>
    <row r="290">
      <c r="A290" s="26" t="n"/>
      <c r="B290" s="26" t="n"/>
      <c r="C290" s="26" t="n"/>
      <c r="D290" s="24" t="n"/>
      <c r="E290" s="37" t="n"/>
      <c r="F290" s="37" t="n"/>
      <c r="G290" s="37" t="n"/>
      <c r="H290" s="26" t="n"/>
    </row>
    <row r="291">
      <c r="A291" s="26" t="n"/>
      <c r="B291" s="26" t="n"/>
      <c r="C291" s="26" t="n"/>
      <c r="D291" s="24" t="n"/>
      <c r="E291" s="37" t="n"/>
      <c r="F291" s="37" t="n"/>
      <c r="G291" s="37" t="n"/>
      <c r="H291" s="26" t="n"/>
    </row>
    <row r="292">
      <c r="A292" s="26" t="n"/>
      <c r="B292" s="26" t="n"/>
      <c r="C292" s="26" t="n"/>
      <c r="D292" s="24" t="n"/>
      <c r="E292" s="37" t="n"/>
      <c r="F292" s="37" t="n"/>
      <c r="G292" s="37" t="n"/>
      <c r="H292" s="26" t="n"/>
    </row>
    <row r="293">
      <c r="A293" s="26" t="n"/>
      <c r="B293" s="26" t="n"/>
      <c r="C293" s="26" t="n"/>
      <c r="D293" s="24" t="n"/>
      <c r="E293" s="37" t="n"/>
      <c r="F293" s="37" t="n"/>
      <c r="G293" s="37" t="n"/>
      <c r="H293" s="26" t="n"/>
    </row>
    <row r="294">
      <c r="A294" s="26" t="n"/>
      <c r="B294" s="26" t="n"/>
      <c r="C294" s="26" t="n"/>
      <c r="D294" s="24" t="n"/>
      <c r="E294" s="37" t="n"/>
      <c r="F294" s="37" t="n"/>
      <c r="G294" s="37" t="n"/>
      <c r="H294" s="26" t="n"/>
    </row>
    <row r="295">
      <c r="A295" s="26" t="n"/>
      <c r="B295" s="26" t="n"/>
      <c r="C295" s="26" t="n"/>
      <c r="D295" s="24" t="n"/>
      <c r="E295" s="37" t="n"/>
      <c r="F295" s="37" t="n"/>
      <c r="G295" s="37" t="n"/>
      <c r="H295" s="26" t="n"/>
    </row>
    <row r="296">
      <c r="A296" s="26" t="n"/>
      <c r="B296" s="26" t="n"/>
      <c r="C296" s="26" t="n"/>
      <c r="D296" s="24" t="n"/>
      <c r="E296" s="37" t="n"/>
      <c r="F296" s="37" t="n"/>
      <c r="G296" s="37" t="n"/>
      <c r="H296" s="26" t="n"/>
    </row>
    <row r="297">
      <c r="A297" s="26" t="n"/>
      <c r="B297" s="26" t="n"/>
      <c r="C297" s="26" t="n"/>
      <c r="D297" s="24" t="n"/>
      <c r="E297" s="37" t="n"/>
      <c r="F297" s="37" t="n"/>
      <c r="G297" s="37" t="n"/>
      <c r="H297" s="26" t="n"/>
    </row>
    <row r="298">
      <c r="A298" s="26" t="n"/>
      <c r="B298" s="26" t="n"/>
      <c r="C298" s="26" t="n"/>
      <c r="D298" s="24" t="n"/>
      <c r="E298" s="37" t="n"/>
      <c r="F298" s="37" t="n"/>
      <c r="G298" s="37" t="n"/>
      <c r="H298" s="26" t="n"/>
    </row>
    <row r="299">
      <c r="A299" s="26" t="n"/>
      <c r="B299" s="26" t="n"/>
      <c r="C299" s="26" t="n"/>
      <c r="D299" s="24" t="n"/>
      <c r="E299" s="37" t="n"/>
      <c r="F299" s="37" t="n"/>
      <c r="G299" s="37" t="n"/>
      <c r="H299" s="26" t="n"/>
    </row>
    <row r="300">
      <c r="A300" s="26" t="n"/>
      <c r="B300" s="26" t="n"/>
      <c r="C300" s="26" t="n"/>
      <c r="D300" s="24" t="n"/>
      <c r="E300" s="37" t="n"/>
      <c r="F300" s="37" t="n"/>
      <c r="G300" s="37" t="n"/>
      <c r="H300" s="26" t="n"/>
    </row>
    <row r="301">
      <c r="A301" s="26" t="n"/>
      <c r="B301" s="26" t="n"/>
      <c r="C301" s="26" t="n"/>
      <c r="D301" s="24" t="n"/>
      <c r="E301" s="37" t="n"/>
      <c r="F301" s="37" t="n"/>
      <c r="G301" s="37" t="n"/>
      <c r="H301" s="26" t="n"/>
    </row>
    <row r="302">
      <c r="A302" s="26" t="n"/>
      <c r="B302" s="26" t="n"/>
      <c r="C302" s="26" t="n"/>
      <c r="D302" s="24" t="n"/>
      <c r="E302" s="37" t="n"/>
      <c r="F302" s="37" t="n"/>
      <c r="G302" s="37" t="n"/>
      <c r="H302" s="26" t="n"/>
    </row>
    <row r="303">
      <c r="A303" s="26" t="n"/>
      <c r="B303" s="26" t="n"/>
      <c r="C303" s="26" t="n"/>
      <c r="D303" s="24" t="n"/>
      <c r="E303" s="37" t="n"/>
      <c r="F303" s="37" t="n"/>
      <c r="G303" s="37" t="n"/>
      <c r="H303" s="26" t="n"/>
    </row>
    <row r="304">
      <c r="A304" s="26" t="n"/>
      <c r="B304" s="26" t="n"/>
      <c r="C304" s="26" t="n"/>
      <c r="D304" s="24" t="n"/>
      <c r="E304" s="37" t="n"/>
      <c r="F304" s="37" t="n"/>
      <c r="G304" s="37" t="n"/>
      <c r="H304" s="26" t="n"/>
    </row>
  </sheetData>
  <mergeCells count="2">
    <mergeCell ref="A2:H2"/>
    <mergeCell ref="A1:H1"/>
  </mergeCells>
  <conditionalFormatting sqref="E5:G304">
    <cfRule type="expression" priority="1" dxfId="3">
      <formula>E5="Yes"</formula>
    </cfRule>
  </conditionalFormatting>
  <conditionalFormatting sqref="A5:D304">
    <cfRule type="expression" priority="2" dxfId="4">
      <formula>$G5="Yes"</formula>
    </cfRule>
  </conditionalFormatting>
  <dataValidations count="2">
    <dataValidation sqref="A5:A304" showDropDown="0" showInputMessage="0" showErrorMessage="1" allowBlank="1" errorTitle="Not on the list" error="This name is not on the People tab yet. Add it there so their totals add up." type="list" errorStyle="warning">
      <formula1>=People!$A$6:$A$55</formula1>
    </dataValidation>
    <dataValidation sqref="E5:G304" showDropDown="0" showInputMessage="0" showErrorMessage="0" allowBlank="1" type="list">
      <formula1>"Yes,No"</formula1>
    </dataValidation>
  </dataValidations>
  <printOptions horizontalCentered="1"/>
  <pageMargins left="0.4" right="0.4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B23A3A"/>
    <outlinePr summaryBelow="1" summaryRight="1"/>
    <pageSetUpPr fitToPage="1"/>
  </sheetPr>
  <dimension ref="A1:F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2" customWidth="1" min="4" max="4"/>
    <col width="16" customWidth="1" min="5" max="5"/>
    <col width="14" customWidth="1" min="6" max="6"/>
  </cols>
  <sheetData>
    <row r="1" ht="38" customHeight="1">
      <c r="A1" s="1" t="inlineStr">
        <is>
          <t>Holiday Expense Log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Everything that isn't a gift: food, decorations, cards, travel... Gifts go in the Gift Tracker.</t>
        </is>
      </c>
      <c r="B2" s="2" t="n"/>
      <c r="C2" s="2" t="n"/>
      <c r="D2" s="2" t="n"/>
      <c r="E2" s="2" t="n"/>
      <c r="F2" s="2" t="n"/>
    </row>
    <row r="3" ht="8" customHeight="1"/>
    <row r="4" ht="30" customHeight="1">
      <c r="A4" s="22" t="inlineStr">
        <is>
          <t>Date</t>
        </is>
      </c>
      <c r="B4" s="22" t="inlineStr">
        <is>
          <t>What</t>
        </is>
      </c>
      <c r="C4" s="22" t="inlineStr">
        <is>
          <t>Category</t>
        </is>
      </c>
      <c r="D4" s="22" t="inlineStr">
        <is>
          <t>Amount</t>
        </is>
      </c>
      <c r="E4" s="22" t="inlineStr">
        <is>
          <t>Paid with</t>
        </is>
      </c>
      <c r="F4" s="22" t="inlineStr">
        <is>
          <t>Running total</t>
        </is>
      </c>
    </row>
    <row r="5">
      <c r="A5" s="38" t="n">
        <v>46328</v>
      </c>
      <c r="B5" s="26" t="inlineStr">
        <is>
          <t>Advent candles + garland</t>
        </is>
      </c>
      <c r="C5" s="26" t="inlineStr">
        <is>
          <t>Decorations</t>
        </is>
      </c>
      <c r="D5" s="24" t="n">
        <v>34.5</v>
      </c>
      <c r="E5" s="26" t="inlineStr">
        <is>
          <t>Debit card</t>
        </is>
      </c>
      <c r="F5" s="28">
        <f>IF(D5="","",SUM($D$5:D5))</f>
        <v/>
      </c>
    </row>
    <row r="6">
      <c r="A6" s="38" t="n">
        <v>46334</v>
      </c>
      <c r="B6" s="26" t="inlineStr">
        <is>
          <t>Christmas cards (box of 40)</t>
        </is>
      </c>
      <c r="C6" s="26" t="inlineStr">
        <is>
          <t>Cards &amp; postage</t>
        </is>
      </c>
      <c r="D6" s="24" t="n">
        <v>18.99</v>
      </c>
      <c r="E6" s="26" t="inlineStr">
        <is>
          <t>Cash</t>
        </is>
      </c>
      <c r="F6" s="28">
        <f>IF(D6="","",SUM($D$5:D6))</f>
        <v/>
      </c>
    </row>
    <row r="7">
      <c r="A7" s="38" t="n">
        <v>46334</v>
      </c>
      <c r="B7" s="26" t="inlineStr">
        <is>
          <t>Stamps</t>
        </is>
      </c>
      <c r="C7" s="26" t="inlineStr">
        <is>
          <t>Cards &amp; postage</t>
        </is>
      </c>
      <c r="D7" s="24" t="n">
        <v>27.2</v>
      </c>
      <c r="E7" s="26" t="inlineStr">
        <is>
          <t>Cash</t>
        </is>
      </c>
      <c r="F7" s="28">
        <f>IF(D7="","",SUM($D$5:D7))</f>
        <v/>
      </c>
    </row>
    <row r="8">
      <c r="A8" s="38" t="n">
        <v>46341</v>
      </c>
      <c r="B8" s="26" t="inlineStr">
        <is>
          <t>Wrapping paper, tape, ribbon</t>
        </is>
      </c>
      <c r="C8" s="26" t="inlineStr">
        <is>
          <t>Wrapping &amp; tags</t>
        </is>
      </c>
      <c r="D8" s="24" t="n">
        <v>24.75</v>
      </c>
      <c r="E8" s="26" t="inlineStr">
        <is>
          <t>Debit card</t>
        </is>
      </c>
      <c r="F8" s="28">
        <f>IF(D8="","",SUM($D$5:D8))</f>
        <v/>
      </c>
    </row>
    <row r="9">
      <c r="A9" s="38" t="n">
        <v>46348</v>
      </c>
      <c r="B9" s="26" t="inlineStr">
        <is>
          <t>Train tickets to Grandma's</t>
        </is>
      </c>
      <c r="C9" s="26" t="inlineStr">
        <is>
          <t>Travel</t>
        </is>
      </c>
      <c r="D9" s="24" t="n">
        <v>136</v>
      </c>
      <c r="E9" s="26" t="inlineStr">
        <is>
          <t>Credit card</t>
        </is>
      </c>
      <c r="F9" s="28">
        <f>IF(D9="","",SUM($D$5:D9))</f>
        <v/>
      </c>
    </row>
    <row r="10">
      <c r="A10" s="38" t="n">
        <v>46355</v>
      </c>
      <c r="B10" s="26" t="inlineStr">
        <is>
          <t>Tree</t>
        </is>
      </c>
      <c r="C10" s="26" t="inlineStr">
        <is>
          <t>Decorations</t>
        </is>
      </c>
      <c r="D10" s="24" t="n">
        <v>65</v>
      </c>
      <c r="E10" s="26" t="inlineStr">
        <is>
          <t>Cash</t>
        </is>
      </c>
      <c r="F10" s="28">
        <f>IF(D10="","",SUM($D$5:D10))</f>
        <v/>
      </c>
    </row>
    <row r="11">
      <c r="A11" s="38" t="n">
        <v>46359</v>
      </c>
      <c r="B11" s="26" t="inlineStr">
        <is>
          <t>Baking supplies</t>
        </is>
      </c>
      <c r="C11" s="26" t="inlineStr">
        <is>
          <t>Food &amp; treats</t>
        </is>
      </c>
      <c r="D11" s="24" t="n">
        <v>42.3</v>
      </c>
      <c r="E11" s="26" t="inlineStr">
        <is>
          <t>Debit card</t>
        </is>
      </c>
      <c r="F11" s="28">
        <f>IF(D11="","",SUM($D$5:D11))</f>
        <v/>
      </c>
    </row>
    <row r="12">
      <c r="A12" s="38" t="n">
        <v>46362</v>
      </c>
      <c r="B12" s="26" t="inlineStr">
        <is>
          <t>Food bank donation</t>
        </is>
      </c>
      <c r="C12" s="26" t="inlineStr">
        <is>
          <t>Charity &amp; giving</t>
        </is>
      </c>
      <c r="D12" s="24" t="n">
        <v>40</v>
      </c>
      <c r="E12" s="26" t="inlineStr">
        <is>
          <t>Debit card</t>
        </is>
      </c>
      <c r="F12" s="28">
        <f>IF(D12="","",SUM($D$5:D12))</f>
        <v/>
      </c>
    </row>
    <row r="13">
      <c r="A13" s="38" t="n">
        <v>46366</v>
      </c>
      <c r="B13" s="26" t="inlineStr">
        <is>
          <t>Holiday party snacks</t>
        </is>
      </c>
      <c r="C13" s="26" t="inlineStr">
        <is>
          <t>Parties &amp; hosting</t>
        </is>
      </c>
      <c r="D13" s="24" t="n">
        <v>58.4</v>
      </c>
      <c r="E13" s="26" t="inlineStr">
        <is>
          <t>Credit card</t>
        </is>
      </c>
      <c r="F13" s="28">
        <f>IF(D13="","",SUM($D$5:D13))</f>
        <v/>
      </c>
    </row>
    <row r="14">
      <c r="A14" s="38" t="n">
        <v>46369</v>
      </c>
      <c r="B14" s="26" t="inlineStr">
        <is>
          <t>Ice rink tickets</t>
        </is>
      </c>
      <c r="C14" s="26" t="inlineStr">
        <is>
          <t>Kids' activities</t>
        </is>
      </c>
      <c r="D14" s="24" t="n">
        <v>32</v>
      </c>
      <c r="E14" s="26" t="inlineStr">
        <is>
          <t>Debit card</t>
        </is>
      </c>
      <c r="F14" s="28">
        <f>IF(D14="","",SUM($D$5:D14))</f>
        <v/>
      </c>
    </row>
    <row r="15">
      <c r="A15" s="38" t="n">
        <v>46370</v>
      </c>
      <c r="B15" s="26" t="inlineStr">
        <is>
          <t>Matching sweaters</t>
        </is>
      </c>
      <c r="C15" s="26" t="inlineStr">
        <is>
          <t>Outfits</t>
        </is>
      </c>
      <c r="D15" s="24" t="n">
        <v>72</v>
      </c>
      <c r="E15" s="26" t="inlineStr">
        <is>
          <t>Credit card</t>
        </is>
      </c>
      <c r="F15" s="28">
        <f>IF(D15="","",SUM($D$5:D15))</f>
        <v/>
      </c>
    </row>
    <row r="16">
      <c r="A16" s="38" t="n"/>
      <c r="B16" s="26" t="n"/>
      <c r="C16" s="26" t="n"/>
      <c r="D16" s="24" t="n"/>
      <c r="E16" s="26" t="n"/>
      <c r="F16" s="28">
        <f>IF(D16="","",SUM($D$5:D16))</f>
        <v/>
      </c>
    </row>
    <row r="17">
      <c r="A17" s="38" t="n"/>
      <c r="B17" s="26" t="n"/>
      <c r="C17" s="26" t="n"/>
      <c r="D17" s="24" t="n"/>
      <c r="E17" s="26" t="n"/>
      <c r="F17" s="28">
        <f>IF(D17="","",SUM($D$5:D17))</f>
        <v/>
      </c>
    </row>
    <row r="18">
      <c r="A18" s="38" t="n"/>
      <c r="B18" s="26" t="n"/>
      <c r="C18" s="26" t="n"/>
      <c r="D18" s="24" t="n"/>
      <c r="E18" s="26" t="n"/>
      <c r="F18" s="28">
        <f>IF(D18="","",SUM($D$5:D18))</f>
        <v/>
      </c>
    </row>
    <row r="19">
      <c r="A19" s="38" t="n"/>
      <c r="B19" s="26" t="n"/>
      <c r="C19" s="26" t="n"/>
      <c r="D19" s="24" t="n"/>
      <c r="E19" s="26" t="n"/>
      <c r="F19" s="28">
        <f>IF(D19="","",SUM($D$5:D19))</f>
        <v/>
      </c>
    </row>
    <row r="20">
      <c r="A20" s="38" t="n"/>
      <c r="B20" s="26" t="n"/>
      <c r="C20" s="26" t="n"/>
      <c r="D20" s="24" t="n"/>
      <c r="E20" s="26" t="n"/>
      <c r="F20" s="28">
        <f>IF(D20="","",SUM($D$5:D20))</f>
        <v/>
      </c>
    </row>
    <row r="21">
      <c r="A21" s="38" t="n"/>
      <c r="B21" s="26" t="n"/>
      <c r="C21" s="26" t="n"/>
      <c r="D21" s="24" t="n"/>
      <c r="E21" s="26" t="n"/>
      <c r="F21" s="28">
        <f>IF(D21="","",SUM($D$5:D21))</f>
        <v/>
      </c>
    </row>
    <row r="22">
      <c r="A22" s="38" t="n"/>
      <c r="B22" s="26" t="n"/>
      <c r="C22" s="26" t="n"/>
      <c r="D22" s="24" t="n"/>
      <c r="E22" s="26" t="n"/>
      <c r="F22" s="28">
        <f>IF(D22="","",SUM($D$5:D22))</f>
        <v/>
      </c>
    </row>
    <row r="23">
      <c r="A23" s="38" t="n"/>
      <c r="B23" s="26" t="n"/>
      <c r="C23" s="26" t="n"/>
      <c r="D23" s="24" t="n"/>
      <c r="E23" s="26" t="n"/>
      <c r="F23" s="28">
        <f>IF(D23="","",SUM($D$5:D23))</f>
        <v/>
      </c>
    </row>
    <row r="24">
      <c r="A24" s="38" t="n"/>
      <c r="B24" s="26" t="n"/>
      <c r="C24" s="26" t="n"/>
      <c r="D24" s="24" t="n"/>
      <c r="E24" s="26" t="n"/>
      <c r="F24" s="28">
        <f>IF(D24="","",SUM($D$5:D24))</f>
        <v/>
      </c>
    </row>
    <row r="25">
      <c r="A25" s="38" t="n"/>
      <c r="B25" s="26" t="n"/>
      <c r="C25" s="26" t="n"/>
      <c r="D25" s="24" t="n"/>
      <c r="E25" s="26" t="n"/>
      <c r="F25" s="28">
        <f>IF(D25="","",SUM($D$5:D25))</f>
        <v/>
      </c>
    </row>
    <row r="26">
      <c r="A26" s="38" t="n"/>
      <c r="B26" s="26" t="n"/>
      <c r="C26" s="26" t="n"/>
      <c r="D26" s="24" t="n"/>
      <c r="E26" s="26" t="n"/>
      <c r="F26" s="28">
        <f>IF(D26="","",SUM($D$5:D26))</f>
        <v/>
      </c>
    </row>
    <row r="27">
      <c r="A27" s="38" t="n"/>
      <c r="B27" s="26" t="n"/>
      <c r="C27" s="26" t="n"/>
      <c r="D27" s="24" t="n"/>
      <c r="E27" s="26" t="n"/>
      <c r="F27" s="28">
        <f>IF(D27="","",SUM($D$5:D27))</f>
        <v/>
      </c>
    </row>
    <row r="28">
      <c r="A28" s="38" t="n"/>
      <c r="B28" s="26" t="n"/>
      <c r="C28" s="26" t="n"/>
      <c r="D28" s="24" t="n"/>
      <c r="E28" s="26" t="n"/>
      <c r="F28" s="28">
        <f>IF(D28="","",SUM($D$5:D28))</f>
        <v/>
      </c>
    </row>
    <row r="29">
      <c r="A29" s="38" t="n"/>
      <c r="B29" s="26" t="n"/>
      <c r="C29" s="26" t="n"/>
      <c r="D29" s="24" t="n"/>
      <c r="E29" s="26" t="n"/>
      <c r="F29" s="28">
        <f>IF(D29="","",SUM($D$5:D29))</f>
        <v/>
      </c>
    </row>
    <row r="30">
      <c r="A30" s="38" t="n"/>
      <c r="B30" s="26" t="n"/>
      <c r="C30" s="26" t="n"/>
      <c r="D30" s="24" t="n"/>
      <c r="E30" s="26" t="n"/>
      <c r="F30" s="28">
        <f>IF(D30="","",SUM($D$5:D30))</f>
        <v/>
      </c>
    </row>
    <row r="31">
      <c r="A31" s="38" t="n"/>
      <c r="B31" s="26" t="n"/>
      <c r="C31" s="26" t="n"/>
      <c r="D31" s="24" t="n"/>
      <c r="E31" s="26" t="n"/>
      <c r="F31" s="28">
        <f>IF(D31="","",SUM($D$5:D31))</f>
        <v/>
      </c>
    </row>
    <row r="32">
      <c r="A32" s="38" t="n"/>
      <c r="B32" s="26" t="n"/>
      <c r="C32" s="26" t="n"/>
      <c r="D32" s="24" t="n"/>
      <c r="E32" s="26" t="n"/>
      <c r="F32" s="28">
        <f>IF(D32="","",SUM($D$5:D32))</f>
        <v/>
      </c>
    </row>
    <row r="33">
      <c r="A33" s="38" t="n"/>
      <c r="B33" s="26" t="n"/>
      <c r="C33" s="26" t="n"/>
      <c r="D33" s="24" t="n"/>
      <c r="E33" s="26" t="n"/>
      <c r="F33" s="28">
        <f>IF(D33="","",SUM($D$5:D33))</f>
        <v/>
      </c>
    </row>
    <row r="34">
      <c r="A34" s="38" t="n"/>
      <c r="B34" s="26" t="n"/>
      <c r="C34" s="26" t="n"/>
      <c r="D34" s="24" t="n"/>
      <c r="E34" s="26" t="n"/>
      <c r="F34" s="28">
        <f>IF(D34="","",SUM($D$5:D34))</f>
        <v/>
      </c>
    </row>
    <row r="35">
      <c r="A35" s="38" t="n"/>
      <c r="B35" s="26" t="n"/>
      <c r="C35" s="26" t="n"/>
      <c r="D35" s="24" t="n"/>
      <c r="E35" s="26" t="n"/>
      <c r="F35" s="28">
        <f>IF(D35="","",SUM($D$5:D35))</f>
        <v/>
      </c>
    </row>
    <row r="36">
      <c r="A36" s="38" t="n"/>
      <c r="B36" s="26" t="n"/>
      <c r="C36" s="26" t="n"/>
      <c r="D36" s="24" t="n"/>
      <c r="E36" s="26" t="n"/>
      <c r="F36" s="28">
        <f>IF(D36="","",SUM($D$5:D36))</f>
        <v/>
      </c>
    </row>
    <row r="37">
      <c r="A37" s="38" t="n"/>
      <c r="B37" s="26" t="n"/>
      <c r="C37" s="26" t="n"/>
      <c r="D37" s="24" t="n"/>
      <c r="E37" s="26" t="n"/>
      <c r="F37" s="28">
        <f>IF(D37="","",SUM($D$5:D37))</f>
        <v/>
      </c>
    </row>
    <row r="38">
      <c r="A38" s="38" t="n"/>
      <c r="B38" s="26" t="n"/>
      <c r="C38" s="26" t="n"/>
      <c r="D38" s="24" t="n"/>
      <c r="E38" s="26" t="n"/>
      <c r="F38" s="28">
        <f>IF(D38="","",SUM($D$5:D38))</f>
        <v/>
      </c>
    </row>
    <row r="39">
      <c r="A39" s="38" t="n"/>
      <c r="B39" s="26" t="n"/>
      <c r="C39" s="26" t="n"/>
      <c r="D39" s="24" t="n"/>
      <c r="E39" s="26" t="n"/>
      <c r="F39" s="28">
        <f>IF(D39="","",SUM($D$5:D39))</f>
        <v/>
      </c>
    </row>
    <row r="40">
      <c r="A40" s="38" t="n"/>
      <c r="B40" s="26" t="n"/>
      <c r="C40" s="26" t="n"/>
      <c r="D40" s="24" t="n"/>
      <c r="E40" s="26" t="n"/>
      <c r="F40" s="28">
        <f>IF(D40="","",SUM($D$5:D40))</f>
        <v/>
      </c>
    </row>
    <row r="41">
      <c r="A41" s="38" t="n"/>
      <c r="B41" s="26" t="n"/>
      <c r="C41" s="26" t="n"/>
      <c r="D41" s="24" t="n"/>
      <c r="E41" s="26" t="n"/>
      <c r="F41" s="28">
        <f>IF(D41="","",SUM($D$5:D41))</f>
        <v/>
      </c>
    </row>
    <row r="42">
      <c r="A42" s="38" t="n"/>
      <c r="B42" s="26" t="n"/>
      <c r="C42" s="26" t="n"/>
      <c r="D42" s="24" t="n"/>
      <c r="E42" s="26" t="n"/>
      <c r="F42" s="28">
        <f>IF(D42="","",SUM($D$5:D42))</f>
        <v/>
      </c>
    </row>
    <row r="43">
      <c r="A43" s="38" t="n"/>
      <c r="B43" s="26" t="n"/>
      <c r="C43" s="26" t="n"/>
      <c r="D43" s="24" t="n"/>
      <c r="E43" s="26" t="n"/>
      <c r="F43" s="28">
        <f>IF(D43="","",SUM($D$5:D43))</f>
        <v/>
      </c>
    </row>
    <row r="44">
      <c r="A44" s="38" t="n"/>
      <c r="B44" s="26" t="n"/>
      <c r="C44" s="26" t="n"/>
      <c r="D44" s="24" t="n"/>
      <c r="E44" s="26" t="n"/>
      <c r="F44" s="28">
        <f>IF(D44="","",SUM($D$5:D44))</f>
        <v/>
      </c>
    </row>
    <row r="45">
      <c r="A45" s="38" t="n"/>
      <c r="B45" s="26" t="n"/>
      <c r="C45" s="26" t="n"/>
      <c r="D45" s="24" t="n"/>
      <c r="E45" s="26" t="n"/>
      <c r="F45" s="28">
        <f>IF(D45="","",SUM($D$5:D45))</f>
        <v/>
      </c>
    </row>
    <row r="46">
      <c r="A46" s="38" t="n"/>
      <c r="B46" s="26" t="n"/>
      <c r="C46" s="26" t="n"/>
      <c r="D46" s="24" t="n"/>
      <c r="E46" s="26" t="n"/>
      <c r="F46" s="28">
        <f>IF(D46="","",SUM($D$5:D46))</f>
        <v/>
      </c>
    </row>
    <row r="47">
      <c r="A47" s="38" t="n"/>
      <c r="B47" s="26" t="n"/>
      <c r="C47" s="26" t="n"/>
      <c r="D47" s="24" t="n"/>
      <c r="E47" s="26" t="n"/>
      <c r="F47" s="28">
        <f>IF(D47="","",SUM($D$5:D47))</f>
        <v/>
      </c>
    </row>
    <row r="48">
      <c r="A48" s="38" t="n"/>
      <c r="B48" s="26" t="n"/>
      <c r="C48" s="26" t="n"/>
      <c r="D48" s="24" t="n"/>
      <c r="E48" s="26" t="n"/>
      <c r="F48" s="28">
        <f>IF(D48="","",SUM($D$5:D48))</f>
        <v/>
      </c>
    </row>
    <row r="49">
      <c r="A49" s="38" t="n"/>
      <c r="B49" s="26" t="n"/>
      <c r="C49" s="26" t="n"/>
      <c r="D49" s="24" t="n"/>
      <c r="E49" s="26" t="n"/>
      <c r="F49" s="28">
        <f>IF(D49="","",SUM($D$5:D49))</f>
        <v/>
      </c>
    </row>
    <row r="50">
      <c r="A50" s="38" t="n"/>
      <c r="B50" s="26" t="n"/>
      <c r="C50" s="26" t="n"/>
      <c r="D50" s="24" t="n"/>
      <c r="E50" s="26" t="n"/>
      <c r="F50" s="28">
        <f>IF(D50="","",SUM($D$5:D50))</f>
        <v/>
      </c>
    </row>
    <row r="51">
      <c r="A51" s="38" t="n"/>
      <c r="B51" s="26" t="n"/>
      <c r="C51" s="26" t="n"/>
      <c r="D51" s="24" t="n"/>
      <c r="E51" s="26" t="n"/>
      <c r="F51" s="28">
        <f>IF(D51="","",SUM($D$5:D51))</f>
        <v/>
      </c>
    </row>
    <row r="52">
      <c r="A52" s="38" t="n"/>
      <c r="B52" s="26" t="n"/>
      <c r="C52" s="26" t="n"/>
      <c r="D52" s="24" t="n"/>
      <c r="E52" s="26" t="n"/>
      <c r="F52" s="28">
        <f>IF(D52="","",SUM($D$5:D52))</f>
        <v/>
      </c>
    </row>
    <row r="53">
      <c r="A53" s="38" t="n"/>
      <c r="B53" s="26" t="n"/>
      <c r="C53" s="26" t="n"/>
      <c r="D53" s="24" t="n"/>
      <c r="E53" s="26" t="n"/>
      <c r="F53" s="28">
        <f>IF(D53="","",SUM($D$5:D53))</f>
        <v/>
      </c>
    </row>
    <row r="54">
      <c r="A54" s="38" t="n"/>
      <c r="B54" s="26" t="n"/>
      <c r="C54" s="26" t="n"/>
      <c r="D54" s="24" t="n"/>
      <c r="E54" s="26" t="n"/>
      <c r="F54" s="28">
        <f>IF(D54="","",SUM($D$5:D54))</f>
        <v/>
      </c>
    </row>
    <row r="55">
      <c r="A55" s="38" t="n"/>
      <c r="B55" s="26" t="n"/>
      <c r="C55" s="26" t="n"/>
      <c r="D55" s="24" t="n"/>
      <c r="E55" s="26" t="n"/>
      <c r="F55" s="28">
        <f>IF(D55="","",SUM($D$5:D55))</f>
        <v/>
      </c>
    </row>
    <row r="56">
      <c r="A56" s="38" t="n"/>
      <c r="B56" s="26" t="n"/>
      <c r="C56" s="26" t="n"/>
      <c r="D56" s="24" t="n"/>
      <c r="E56" s="26" t="n"/>
      <c r="F56" s="28">
        <f>IF(D56="","",SUM($D$5:D56))</f>
        <v/>
      </c>
    </row>
    <row r="57">
      <c r="A57" s="38" t="n"/>
      <c r="B57" s="26" t="n"/>
      <c r="C57" s="26" t="n"/>
      <c r="D57" s="24" t="n"/>
      <c r="E57" s="26" t="n"/>
      <c r="F57" s="28">
        <f>IF(D57="","",SUM($D$5:D57))</f>
        <v/>
      </c>
    </row>
    <row r="58">
      <c r="A58" s="38" t="n"/>
      <c r="B58" s="26" t="n"/>
      <c r="C58" s="26" t="n"/>
      <c r="D58" s="24" t="n"/>
      <c r="E58" s="26" t="n"/>
      <c r="F58" s="28">
        <f>IF(D58="","",SUM($D$5:D58))</f>
        <v/>
      </c>
    </row>
    <row r="59">
      <c r="A59" s="38" t="n"/>
      <c r="B59" s="26" t="n"/>
      <c r="C59" s="26" t="n"/>
      <c r="D59" s="24" t="n"/>
      <c r="E59" s="26" t="n"/>
      <c r="F59" s="28">
        <f>IF(D59="","",SUM($D$5:D59))</f>
        <v/>
      </c>
    </row>
    <row r="60">
      <c r="A60" s="38" t="n"/>
      <c r="B60" s="26" t="n"/>
      <c r="C60" s="26" t="n"/>
      <c r="D60" s="24" t="n"/>
      <c r="E60" s="26" t="n"/>
      <c r="F60" s="28">
        <f>IF(D60="","",SUM($D$5:D60))</f>
        <v/>
      </c>
    </row>
    <row r="61">
      <c r="A61" s="38" t="n"/>
      <c r="B61" s="26" t="n"/>
      <c r="C61" s="26" t="n"/>
      <c r="D61" s="24" t="n"/>
      <c r="E61" s="26" t="n"/>
      <c r="F61" s="28">
        <f>IF(D61="","",SUM($D$5:D61))</f>
        <v/>
      </c>
    </row>
    <row r="62">
      <c r="A62" s="38" t="n"/>
      <c r="B62" s="26" t="n"/>
      <c r="C62" s="26" t="n"/>
      <c r="D62" s="24" t="n"/>
      <c r="E62" s="26" t="n"/>
      <c r="F62" s="28">
        <f>IF(D62="","",SUM($D$5:D62))</f>
        <v/>
      </c>
    </row>
    <row r="63">
      <c r="A63" s="38" t="n"/>
      <c r="B63" s="26" t="n"/>
      <c r="C63" s="26" t="n"/>
      <c r="D63" s="24" t="n"/>
      <c r="E63" s="26" t="n"/>
      <c r="F63" s="28">
        <f>IF(D63="","",SUM($D$5:D63))</f>
        <v/>
      </c>
    </row>
    <row r="64">
      <c r="A64" s="38" t="n"/>
      <c r="B64" s="26" t="n"/>
      <c r="C64" s="26" t="n"/>
      <c r="D64" s="24" t="n"/>
      <c r="E64" s="26" t="n"/>
      <c r="F64" s="28">
        <f>IF(D64="","",SUM($D$5:D64))</f>
        <v/>
      </c>
    </row>
    <row r="65">
      <c r="A65" s="38" t="n"/>
      <c r="B65" s="26" t="n"/>
      <c r="C65" s="26" t="n"/>
      <c r="D65" s="24" t="n"/>
      <c r="E65" s="26" t="n"/>
      <c r="F65" s="28">
        <f>IF(D65="","",SUM($D$5:D65))</f>
        <v/>
      </c>
    </row>
    <row r="66">
      <c r="A66" s="38" t="n"/>
      <c r="B66" s="26" t="n"/>
      <c r="C66" s="26" t="n"/>
      <c r="D66" s="24" t="n"/>
      <c r="E66" s="26" t="n"/>
      <c r="F66" s="28">
        <f>IF(D66="","",SUM($D$5:D66))</f>
        <v/>
      </c>
    </row>
    <row r="67">
      <c r="A67" s="38" t="n"/>
      <c r="B67" s="26" t="n"/>
      <c r="C67" s="26" t="n"/>
      <c r="D67" s="24" t="n"/>
      <c r="E67" s="26" t="n"/>
      <c r="F67" s="28">
        <f>IF(D67="","",SUM($D$5:D67))</f>
        <v/>
      </c>
    </row>
    <row r="68">
      <c r="A68" s="38" t="n"/>
      <c r="B68" s="26" t="n"/>
      <c r="C68" s="26" t="n"/>
      <c r="D68" s="24" t="n"/>
      <c r="E68" s="26" t="n"/>
      <c r="F68" s="28">
        <f>IF(D68="","",SUM($D$5:D68))</f>
        <v/>
      </c>
    </row>
    <row r="69">
      <c r="A69" s="38" t="n"/>
      <c r="B69" s="26" t="n"/>
      <c r="C69" s="26" t="n"/>
      <c r="D69" s="24" t="n"/>
      <c r="E69" s="26" t="n"/>
      <c r="F69" s="28">
        <f>IF(D69="","",SUM($D$5:D69))</f>
        <v/>
      </c>
    </row>
    <row r="70">
      <c r="A70" s="38" t="n"/>
      <c r="B70" s="26" t="n"/>
      <c r="C70" s="26" t="n"/>
      <c r="D70" s="24" t="n"/>
      <c r="E70" s="26" t="n"/>
      <c r="F70" s="28">
        <f>IF(D70="","",SUM($D$5:D70))</f>
        <v/>
      </c>
    </row>
    <row r="71">
      <c r="A71" s="38" t="n"/>
      <c r="B71" s="26" t="n"/>
      <c r="C71" s="26" t="n"/>
      <c r="D71" s="24" t="n"/>
      <c r="E71" s="26" t="n"/>
      <c r="F71" s="28">
        <f>IF(D71="","",SUM($D$5:D71))</f>
        <v/>
      </c>
    </row>
    <row r="72">
      <c r="A72" s="38" t="n"/>
      <c r="B72" s="26" t="n"/>
      <c r="C72" s="26" t="n"/>
      <c r="D72" s="24" t="n"/>
      <c r="E72" s="26" t="n"/>
      <c r="F72" s="28">
        <f>IF(D72="","",SUM($D$5:D72))</f>
        <v/>
      </c>
    </row>
    <row r="73">
      <c r="A73" s="38" t="n"/>
      <c r="B73" s="26" t="n"/>
      <c r="C73" s="26" t="n"/>
      <c r="D73" s="24" t="n"/>
      <c r="E73" s="26" t="n"/>
      <c r="F73" s="28">
        <f>IF(D73="","",SUM($D$5:D73))</f>
        <v/>
      </c>
    </row>
    <row r="74">
      <c r="A74" s="38" t="n"/>
      <c r="B74" s="26" t="n"/>
      <c r="C74" s="26" t="n"/>
      <c r="D74" s="24" t="n"/>
      <c r="E74" s="26" t="n"/>
      <c r="F74" s="28">
        <f>IF(D74="","",SUM($D$5:D74))</f>
        <v/>
      </c>
    </row>
    <row r="75">
      <c r="A75" s="38" t="n"/>
      <c r="B75" s="26" t="n"/>
      <c r="C75" s="26" t="n"/>
      <c r="D75" s="24" t="n"/>
      <c r="E75" s="26" t="n"/>
      <c r="F75" s="28">
        <f>IF(D75="","",SUM($D$5:D75))</f>
        <v/>
      </c>
    </row>
    <row r="76">
      <c r="A76" s="38" t="n"/>
      <c r="B76" s="26" t="n"/>
      <c r="C76" s="26" t="n"/>
      <c r="D76" s="24" t="n"/>
      <c r="E76" s="26" t="n"/>
      <c r="F76" s="28">
        <f>IF(D76="","",SUM($D$5:D76))</f>
        <v/>
      </c>
    </row>
    <row r="77">
      <c r="A77" s="38" t="n"/>
      <c r="B77" s="26" t="n"/>
      <c r="C77" s="26" t="n"/>
      <c r="D77" s="24" t="n"/>
      <c r="E77" s="26" t="n"/>
      <c r="F77" s="28">
        <f>IF(D77="","",SUM($D$5:D77))</f>
        <v/>
      </c>
    </row>
    <row r="78">
      <c r="A78" s="38" t="n"/>
      <c r="B78" s="26" t="n"/>
      <c r="C78" s="26" t="n"/>
      <c r="D78" s="24" t="n"/>
      <c r="E78" s="26" t="n"/>
      <c r="F78" s="28">
        <f>IF(D78="","",SUM($D$5:D78))</f>
        <v/>
      </c>
    </row>
    <row r="79">
      <c r="A79" s="38" t="n"/>
      <c r="B79" s="26" t="n"/>
      <c r="C79" s="26" t="n"/>
      <c r="D79" s="24" t="n"/>
      <c r="E79" s="26" t="n"/>
      <c r="F79" s="28">
        <f>IF(D79="","",SUM($D$5:D79))</f>
        <v/>
      </c>
    </row>
    <row r="80">
      <c r="A80" s="38" t="n"/>
      <c r="B80" s="26" t="n"/>
      <c r="C80" s="26" t="n"/>
      <c r="D80" s="24" t="n"/>
      <c r="E80" s="26" t="n"/>
      <c r="F80" s="28">
        <f>IF(D80="","",SUM($D$5:D80))</f>
        <v/>
      </c>
    </row>
    <row r="81">
      <c r="A81" s="38" t="n"/>
      <c r="B81" s="26" t="n"/>
      <c r="C81" s="26" t="n"/>
      <c r="D81" s="24" t="n"/>
      <c r="E81" s="26" t="n"/>
      <c r="F81" s="28">
        <f>IF(D81="","",SUM($D$5:D81))</f>
        <v/>
      </c>
    </row>
    <row r="82">
      <c r="A82" s="38" t="n"/>
      <c r="B82" s="26" t="n"/>
      <c r="C82" s="26" t="n"/>
      <c r="D82" s="24" t="n"/>
      <c r="E82" s="26" t="n"/>
      <c r="F82" s="28">
        <f>IF(D82="","",SUM($D$5:D82))</f>
        <v/>
      </c>
    </row>
    <row r="83">
      <c r="A83" s="38" t="n"/>
      <c r="B83" s="26" t="n"/>
      <c r="C83" s="26" t="n"/>
      <c r="D83" s="24" t="n"/>
      <c r="E83" s="26" t="n"/>
      <c r="F83" s="28">
        <f>IF(D83="","",SUM($D$5:D83))</f>
        <v/>
      </c>
    </row>
    <row r="84">
      <c r="A84" s="38" t="n"/>
      <c r="B84" s="26" t="n"/>
      <c r="C84" s="26" t="n"/>
      <c r="D84" s="24" t="n"/>
      <c r="E84" s="26" t="n"/>
      <c r="F84" s="28">
        <f>IF(D84="","",SUM($D$5:D84))</f>
        <v/>
      </c>
    </row>
    <row r="85">
      <c r="A85" s="38" t="n"/>
      <c r="B85" s="26" t="n"/>
      <c r="C85" s="26" t="n"/>
      <c r="D85" s="24" t="n"/>
      <c r="E85" s="26" t="n"/>
      <c r="F85" s="28">
        <f>IF(D85="","",SUM($D$5:D85))</f>
        <v/>
      </c>
    </row>
    <row r="86">
      <c r="A86" s="38" t="n"/>
      <c r="B86" s="26" t="n"/>
      <c r="C86" s="26" t="n"/>
      <c r="D86" s="24" t="n"/>
      <c r="E86" s="26" t="n"/>
      <c r="F86" s="28">
        <f>IF(D86="","",SUM($D$5:D86))</f>
        <v/>
      </c>
    </row>
    <row r="87">
      <c r="A87" s="38" t="n"/>
      <c r="B87" s="26" t="n"/>
      <c r="C87" s="26" t="n"/>
      <c r="D87" s="24" t="n"/>
      <c r="E87" s="26" t="n"/>
      <c r="F87" s="28">
        <f>IF(D87="","",SUM($D$5:D87))</f>
        <v/>
      </c>
    </row>
    <row r="88">
      <c r="A88" s="38" t="n"/>
      <c r="B88" s="26" t="n"/>
      <c r="C88" s="26" t="n"/>
      <c r="D88" s="24" t="n"/>
      <c r="E88" s="26" t="n"/>
      <c r="F88" s="28">
        <f>IF(D88="","",SUM($D$5:D88))</f>
        <v/>
      </c>
    </row>
    <row r="89">
      <c r="A89" s="38" t="n"/>
      <c r="B89" s="26" t="n"/>
      <c r="C89" s="26" t="n"/>
      <c r="D89" s="24" t="n"/>
      <c r="E89" s="26" t="n"/>
      <c r="F89" s="28">
        <f>IF(D89="","",SUM($D$5:D89))</f>
        <v/>
      </c>
    </row>
    <row r="90">
      <c r="A90" s="38" t="n"/>
      <c r="B90" s="26" t="n"/>
      <c r="C90" s="26" t="n"/>
      <c r="D90" s="24" t="n"/>
      <c r="E90" s="26" t="n"/>
      <c r="F90" s="28">
        <f>IF(D90="","",SUM($D$5:D90))</f>
        <v/>
      </c>
    </row>
    <row r="91">
      <c r="A91" s="38" t="n"/>
      <c r="B91" s="26" t="n"/>
      <c r="C91" s="26" t="n"/>
      <c r="D91" s="24" t="n"/>
      <c r="E91" s="26" t="n"/>
      <c r="F91" s="28">
        <f>IF(D91="","",SUM($D$5:D91))</f>
        <v/>
      </c>
    </row>
    <row r="92">
      <c r="A92" s="38" t="n"/>
      <c r="B92" s="26" t="n"/>
      <c r="C92" s="26" t="n"/>
      <c r="D92" s="24" t="n"/>
      <c r="E92" s="26" t="n"/>
      <c r="F92" s="28">
        <f>IF(D92="","",SUM($D$5:D92))</f>
        <v/>
      </c>
    </row>
    <row r="93">
      <c r="A93" s="38" t="n"/>
      <c r="B93" s="26" t="n"/>
      <c r="C93" s="26" t="n"/>
      <c r="D93" s="24" t="n"/>
      <c r="E93" s="26" t="n"/>
      <c r="F93" s="28">
        <f>IF(D93="","",SUM($D$5:D93))</f>
        <v/>
      </c>
    </row>
    <row r="94">
      <c r="A94" s="38" t="n"/>
      <c r="B94" s="26" t="n"/>
      <c r="C94" s="26" t="n"/>
      <c r="D94" s="24" t="n"/>
      <c r="E94" s="26" t="n"/>
      <c r="F94" s="28">
        <f>IF(D94="","",SUM($D$5:D94))</f>
        <v/>
      </c>
    </row>
    <row r="95">
      <c r="A95" s="38" t="n"/>
      <c r="B95" s="26" t="n"/>
      <c r="C95" s="26" t="n"/>
      <c r="D95" s="24" t="n"/>
      <c r="E95" s="26" t="n"/>
      <c r="F95" s="28">
        <f>IF(D95="","",SUM($D$5:D95))</f>
        <v/>
      </c>
    </row>
    <row r="96">
      <c r="A96" s="38" t="n"/>
      <c r="B96" s="26" t="n"/>
      <c r="C96" s="26" t="n"/>
      <c r="D96" s="24" t="n"/>
      <c r="E96" s="26" t="n"/>
      <c r="F96" s="28">
        <f>IF(D96="","",SUM($D$5:D96))</f>
        <v/>
      </c>
    </row>
    <row r="97">
      <c r="A97" s="38" t="n"/>
      <c r="B97" s="26" t="n"/>
      <c r="C97" s="26" t="n"/>
      <c r="D97" s="24" t="n"/>
      <c r="E97" s="26" t="n"/>
      <c r="F97" s="28">
        <f>IF(D97="","",SUM($D$5:D97))</f>
        <v/>
      </c>
    </row>
    <row r="98">
      <c r="A98" s="38" t="n"/>
      <c r="B98" s="26" t="n"/>
      <c r="C98" s="26" t="n"/>
      <c r="D98" s="24" t="n"/>
      <c r="E98" s="26" t="n"/>
      <c r="F98" s="28">
        <f>IF(D98="","",SUM($D$5:D98))</f>
        <v/>
      </c>
    </row>
    <row r="99">
      <c r="A99" s="38" t="n"/>
      <c r="B99" s="26" t="n"/>
      <c r="C99" s="26" t="n"/>
      <c r="D99" s="24" t="n"/>
      <c r="E99" s="26" t="n"/>
      <c r="F99" s="28">
        <f>IF(D99="","",SUM($D$5:D99))</f>
        <v/>
      </c>
    </row>
    <row r="100">
      <c r="A100" s="38" t="n"/>
      <c r="B100" s="26" t="n"/>
      <c r="C100" s="26" t="n"/>
      <c r="D100" s="24" t="n"/>
      <c r="E100" s="26" t="n"/>
      <c r="F100" s="28">
        <f>IF(D100="","",SUM($D$5:D100))</f>
        <v/>
      </c>
    </row>
    <row r="101">
      <c r="A101" s="38" t="n"/>
      <c r="B101" s="26" t="n"/>
      <c r="C101" s="26" t="n"/>
      <c r="D101" s="24" t="n"/>
      <c r="E101" s="26" t="n"/>
      <c r="F101" s="28">
        <f>IF(D101="","",SUM($D$5:D101))</f>
        <v/>
      </c>
    </row>
    <row r="102">
      <c r="A102" s="38" t="n"/>
      <c r="B102" s="26" t="n"/>
      <c r="C102" s="26" t="n"/>
      <c r="D102" s="24" t="n"/>
      <c r="E102" s="26" t="n"/>
      <c r="F102" s="28">
        <f>IF(D102="","",SUM($D$5:D102))</f>
        <v/>
      </c>
    </row>
    <row r="103">
      <c r="A103" s="38" t="n"/>
      <c r="B103" s="26" t="n"/>
      <c r="C103" s="26" t="n"/>
      <c r="D103" s="24" t="n"/>
      <c r="E103" s="26" t="n"/>
      <c r="F103" s="28">
        <f>IF(D103="","",SUM($D$5:D103))</f>
        <v/>
      </c>
    </row>
    <row r="104">
      <c r="A104" s="38" t="n"/>
      <c r="B104" s="26" t="n"/>
      <c r="C104" s="26" t="n"/>
      <c r="D104" s="24" t="n"/>
      <c r="E104" s="26" t="n"/>
      <c r="F104" s="28">
        <f>IF(D104="","",SUM($D$5:D104))</f>
        <v/>
      </c>
    </row>
    <row r="105">
      <c r="A105" s="38" t="n"/>
      <c r="B105" s="26" t="n"/>
      <c r="C105" s="26" t="n"/>
      <c r="D105" s="24" t="n"/>
      <c r="E105" s="26" t="n"/>
      <c r="F105" s="28">
        <f>IF(D105="","",SUM($D$5:D105))</f>
        <v/>
      </c>
    </row>
    <row r="106">
      <c r="A106" s="38" t="n"/>
      <c r="B106" s="26" t="n"/>
      <c r="C106" s="26" t="n"/>
      <c r="D106" s="24" t="n"/>
      <c r="E106" s="26" t="n"/>
      <c r="F106" s="28">
        <f>IF(D106="","",SUM($D$5:D106))</f>
        <v/>
      </c>
    </row>
    <row r="107">
      <c r="A107" s="38" t="n"/>
      <c r="B107" s="26" t="n"/>
      <c r="C107" s="26" t="n"/>
      <c r="D107" s="24" t="n"/>
      <c r="E107" s="26" t="n"/>
      <c r="F107" s="28">
        <f>IF(D107="","",SUM($D$5:D107))</f>
        <v/>
      </c>
    </row>
    <row r="108">
      <c r="A108" s="38" t="n"/>
      <c r="B108" s="26" t="n"/>
      <c r="C108" s="26" t="n"/>
      <c r="D108" s="24" t="n"/>
      <c r="E108" s="26" t="n"/>
      <c r="F108" s="28">
        <f>IF(D108="","",SUM($D$5:D108))</f>
        <v/>
      </c>
    </row>
    <row r="109">
      <c r="A109" s="38" t="n"/>
      <c r="B109" s="26" t="n"/>
      <c r="C109" s="26" t="n"/>
      <c r="D109" s="24" t="n"/>
      <c r="E109" s="26" t="n"/>
      <c r="F109" s="28">
        <f>IF(D109="","",SUM($D$5:D109))</f>
        <v/>
      </c>
    </row>
    <row r="110">
      <c r="A110" s="38" t="n"/>
      <c r="B110" s="26" t="n"/>
      <c r="C110" s="26" t="n"/>
      <c r="D110" s="24" t="n"/>
      <c r="E110" s="26" t="n"/>
      <c r="F110" s="28">
        <f>IF(D110="","",SUM($D$5:D110))</f>
        <v/>
      </c>
    </row>
    <row r="111">
      <c r="A111" s="38" t="n"/>
      <c r="B111" s="26" t="n"/>
      <c r="C111" s="26" t="n"/>
      <c r="D111" s="24" t="n"/>
      <c r="E111" s="26" t="n"/>
      <c r="F111" s="28">
        <f>IF(D111="","",SUM($D$5:D111))</f>
        <v/>
      </c>
    </row>
    <row r="112">
      <c r="A112" s="38" t="n"/>
      <c r="B112" s="26" t="n"/>
      <c r="C112" s="26" t="n"/>
      <c r="D112" s="24" t="n"/>
      <c r="E112" s="26" t="n"/>
      <c r="F112" s="28">
        <f>IF(D112="","",SUM($D$5:D112))</f>
        <v/>
      </c>
    </row>
    <row r="113">
      <c r="A113" s="38" t="n"/>
      <c r="B113" s="26" t="n"/>
      <c r="C113" s="26" t="n"/>
      <c r="D113" s="24" t="n"/>
      <c r="E113" s="26" t="n"/>
      <c r="F113" s="28">
        <f>IF(D113="","",SUM($D$5:D113))</f>
        <v/>
      </c>
    </row>
    <row r="114">
      <c r="A114" s="38" t="n"/>
      <c r="B114" s="26" t="n"/>
      <c r="C114" s="26" t="n"/>
      <c r="D114" s="24" t="n"/>
      <c r="E114" s="26" t="n"/>
      <c r="F114" s="28">
        <f>IF(D114="","",SUM($D$5:D114))</f>
        <v/>
      </c>
    </row>
    <row r="115">
      <c r="A115" s="38" t="n"/>
      <c r="B115" s="26" t="n"/>
      <c r="C115" s="26" t="n"/>
      <c r="D115" s="24" t="n"/>
      <c r="E115" s="26" t="n"/>
      <c r="F115" s="28">
        <f>IF(D115="","",SUM($D$5:D115))</f>
        <v/>
      </c>
    </row>
    <row r="116">
      <c r="A116" s="38" t="n"/>
      <c r="B116" s="26" t="n"/>
      <c r="C116" s="26" t="n"/>
      <c r="D116" s="24" t="n"/>
      <c r="E116" s="26" t="n"/>
      <c r="F116" s="28">
        <f>IF(D116="","",SUM($D$5:D116))</f>
        <v/>
      </c>
    </row>
    <row r="117">
      <c r="A117" s="38" t="n"/>
      <c r="B117" s="26" t="n"/>
      <c r="C117" s="26" t="n"/>
      <c r="D117" s="24" t="n"/>
      <c r="E117" s="26" t="n"/>
      <c r="F117" s="28">
        <f>IF(D117="","",SUM($D$5:D117))</f>
        <v/>
      </c>
    </row>
    <row r="118">
      <c r="A118" s="38" t="n"/>
      <c r="B118" s="26" t="n"/>
      <c r="C118" s="26" t="n"/>
      <c r="D118" s="24" t="n"/>
      <c r="E118" s="26" t="n"/>
      <c r="F118" s="28">
        <f>IF(D118="","",SUM($D$5:D118))</f>
        <v/>
      </c>
    </row>
    <row r="119">
      <c r="A119" s="38" t="n"/>
      <c r="B119" s="26" t="n"/>
      <c r="C119" s="26" t="n"/>
      <c r="D119" s="24" t="n"/>
      <c r="E119" s="26" t="n"/>
      <c r="F119" s="28">
        <f>IF(D119="","",SUM($D$5:D119))</f>
        <v/>
      </c>
    </row>
    <row r="120">
      <c r="A120" s="38" t="n"/>
      <c r="B120" s="26" t="n"/>
      <c r="C120" s="26" t="n"/>
      <c r="D120" s="24" t="n"/>
      <c r="E120" s="26" t="n"/>
      <c r="F120" s="28">
        <f>IF(D120="","",SUM($D$5:D120))</f>
        <v/>
      </c>
    </row>
    <row r="121">
      <c r="A121" s="38" t="n"/>
      <c r="B121" s="26" t="n"/>
      <c r="C121" s="26" t="n"/>
      <c r="D121" s="24" t="n"/>
      <c r="E121" s="26" t="n"/>
      <c r="F121" s="28">
        <f>IF(D121="","",SUM($D$5:D121))</f>
        <v/>
      </c>
    </row>
    <row r="122">
      <c r="A122" s="38" t="n"/>
      <c r="B122" s="26" t="n"/>
      <c r="C122" s="26" t="n"/>
      <c r="D122" s="24" t="n"/>
      <c r="E122" s="26" t="n"/>
      <c r="F122" s="28">
        <f>IF(D122="","",SUM($D$5:D122))</f>
        <v/>
      </c>
    </row>
    <row r="123">
      <c r="A123" s="38" t="n"/>
      <c r="B123" s="26" t="n"/>
      <c r="C123" s="26" t="n"/>
      <c r="D123" s="24" t="n"/>
      <c r="E123" s="26" t="n"/>
      <c r="F123" s="28">
        <f>IF(D123="","",SUM($D$5:D123))</f>
        <v/>
      </c>
    </row>
    <row r="124">
      <c r="A124" s="38" t="n"/>
      <c r="B124" s="26" t="n"/>
      <c r="C124" s="26" t="n"/>
      <c r="D124" s="24" t="n"/>
      <c r="E124" s="26" t="n"/>
      <c r="F124" s="28">
        <f>IF(D124="","",SUM($D$5:D124))</f>
        <v/>
      </c>
    </row>
    <row r="125">
      <c r="A125" s="38" t="n"/>
      <c r="B125" s="26" t="n"/>
      <c r="C125" s="26" t="n"/>
      <c r="D125" s="24" t="n"/>
      <c r="E125" s="26" t="n"/>
      <c r="F125" s="28">
        <f>IF(D125="","",SUM($D$5:D125))</f>
        <v/>
      </c>
    </row>
    <row r="126">
      <c r="A126" s="38" t="n"/>
      <c r="B126" s="26" t="n"/>
      <c r="C126" s="26" t="n"/>
      <c r="D126" s="24" t="n"/>
      <c r="E126" s="26" t="n"/>
      <c r="F126" s="28">
        <f>IF(D126="","",SUM($D$5:D126))</f>
        <v/>
      </c>
    </row>
    <row r="127">
      <c r="A127" s="38" t="n"/>
      <c r="B127" s="26" t="n"/>
      <c r="C127" s="26" t="n"/>
      <c r="D127" s="24" t="n"/>
      <c r="E127" s="26" t="n"/>
      <c r="F127" s="28">
        <f>IF(D127="","",SUM($D$5:D127))</f>
        <v/>
      </c>
    </row>
    <row r="128">
      <c r="A128" s="38" t="n"/>
      <c r="B128" s="26" t="n"/>
      <c r="C128" s="26" t="n"/>
      <c r="D128" s="24" t="n"/>
      <c r="E128" s="26" t="n"/>
      <c r="F128" s="28">
        <f>IF(D128="","",SUM($D$5:D128))</f>
        <v/>
      </c>
    </row>
    <row r="129">
      <c r="A129" s="38" t="n"/>
      <c r="B129" s="26" t="n"/>
      <c r="C129" s="26" t="n"/>
      <c r="D129" s="24" t="n"/>
      <c r="E129" s="26" t="n"/>
      <c r="F129" s="28">
        <f>IF(D129="","",SUM($D$5:D129))</f>
        <v/>
      </c>
    </row>
    <row r="130">
      <c r="A130" s="38" t="n"/>
      <c r="B130" s="26" t="n"/>
      <c r="C130" s="26" t="n"/>
      <c r="D130" s="24" t="n"/>
      <c r="E130" s="26" t="n"/>
      <c r="F130" s="28">
        <f>IF(D130="","",SUM($D$5:D130))</f>
        <v/>
      </c>
    </row>
    <row r="131">
      <c r="A131" s="38" t="n"/>
      <c r="B131" s="26" t="n"/>
      <c r="C131" s="26" t="n"/>
      <c r="D131" s="24" t="n"/>
      <c r="E131" s="26" t="n"/>
      <c r="F131" s="28">
        <f>IF(D131="","",SUM($D$5:D131))</f>
        <v/>
      </c>
    </row>
    <row r="132">
      <c r="A132" s="38" t="n"/>
      <c r="B132" s="26" t="n"/>
      <c r="C132" s="26" t="n"/>
      <c r="D132" s="24" t="n"/>
      <c r="E132" s="26" t="n"/>
      <c r="F132" s="28">
        <f>IF(D132="","",SUM($D$5:D132))</f>
        <v/>
      </c>
    </row>
    <row r="133">
      <c r="A133" s="38" t="n"/>
      <c r="B133" s="26" t="n"/>
      <c r="C133" s="26" t="n"/>
      <c r="D133" s="24" t="n"/>
      <c r="E133" s="26" t="n"/>
      <c r="F133" s="28">
        <f>IF(D133="","",SUM($D$5:D133))</f>
        <v/>
      </c>
    </row>
    <row r="134">
      <c r="A134" s="38" t="n"/>
      <c r="B134" s="26" t="n"/>
      <c r="C134" s="26" t="n"/>
      <c r="D134" s="24" t="n"/>
      <c r="E134" s="26" t="n"/>
      <c r="F134" s="28">
        <f>IF(D134="","",SUM($D$5:D134))</f>
        <v/>
      </c>
    </row>
    <row r="135">
      <c r="A135" s="38" t="n"/>
      <c r="B135" s="26" t="n"/>
      <c r="C135" s="26" t="n"/>
      <c r="D135" s="24" t="n"/>
      <c r="E135" s="26" t="n"/>
      <c r="F135" s="28">
        <f>IF(D135="","",SUM($D$5:D135))</f>
        <v/>
      </c>
    </row>
    <row r="136">
      <c r="A136" s="38" t="n"/>
      <c r="B136" s="26" t="n"/>
      <c r="C136" s="26" t="n"/>
      <c r="D136" s="24" t="n"/>
      <c r="E136" s="26" t="n"/>
      <c r="F136" s="28">
        <f>IF(D136="","",SUM($D$5:D136))</f>
        <v/>
      </c>
    </row>
    <row r="137">
      <c r="A137" s="38" t="n"/>
      <c r="B137" s="26" t="n"/>
      <c r="C137" s="26" t="n"/>
      <c r="D137" s="24" t="n"/>
      <c r="E137" s="26" t="n"/>
      <c r="F137" s="28">
        <f>IF(D137="","",SUM($D$5:D137))</f>
        <v/>
      </c>
    </row>
    <row r="138">
      <c r="A138" s="38" t="n"/>
      <c r="B138" s="26" t="n"/>
      <c r="C138" s="26" t="n"/>
      <c r="D138" s="24" t="n"/>
      <c r="E138" s="26" t="n"/>
      <c r="F138" s="28">
        <f>IF(D138="","",SUM($D$5:D138))</f>
        <v/>
      </c>
    </row>
    <row r="139">
      <c r="A139" s="38" t="n"/>
      <c r="B139" s="26" t="n"/>
      <c r="C139" s="26" t="n"/>
      <c r="D139" s="24" t="n"/>
      <c r="E139" s="26" t="n"/>
      <c r="F139" s="28">
        <f>IF(D139="","",SUM($D$5:D139))</f>
        <v/>
      </c>
    </row>
    <row r="140">
      <c r="A140" s="38" t="n"/>
      <c r="B140" s="26" t="n"/>
      <c r="C140" s="26" t="n"/>
      <c r="D140" s="24" t="n"/>
      <c r="E140" s="26" t="n"/>
      <c r="F140" s="28">
        <f>IF(D140="","",SUM($D$5:D140))</f>
        <v/>
      </c>
    </row>
    <row r="141">
      <c r="A141" s="38" t="n"/>
      <c r="B141" s="26" t="n"/>
      <c r="C141" s="26" t="n"/>
      <c r="D141" s="24" t="n"/>
      <c r="E141" s="26" t="n"/>
      <c r="F141" s="28">
        <f>IF(D141="","",SUM($D$5:D141))</f>
        <v/>
      </c>
    </row>
    <row r="142">
      <c r="A142" s="38" t="n"/>
      <c r="B142" s="26" t="n"/>
      <c r="C142" s="26" t="n"/>
      <c r="D142" s="24" t="n"/>
      <c r="E142" s="26" t="n"/>
      <c r="F142" s="28">
        <f>IF(D142="","",SUM($D$5:D142))</f>
        <v/>
      </c>
    </row>
    <row r="143">
      <c r="A143" s="38" t="n"/>
      <c r="B143" s="26" t="n"/>
      <c r="C143" s="26" t="n"/>
      <c r="D143" s="24" t="n"/>
      <c r="E143" s="26" t="n"/>
      <c r="F143" s="28">
        <f>IF(D143="","",SUM($D$5:D143))</f>
        <v/>
      </c>
    </row>
    <row r="144">
      <c r="A144" s="38" t="n"/>
      <c r="B144" s="26" t="n"/>
      <c r="C144" s="26" t="n"/>
      <c r="D144" s="24" t="n"/>
      <c r="E144" s="26" t="n"/>
      <c r="F144" s="28">
        <f>IF(D144="","",SUM($D$5:D144))</f>
        <v/>
      </c>
    </row>
    <row r="145">
      <c r="A145" s="38" t="n"/>
      <c r="B145" s="26" t="n"/>
      <c r="C145" s="26" t="n"/>
      <c r="D145" s="24" t="n"/>
      <c r="E145" s="26" t="n"/>
      <c r="F145" s="28">
        <f>IF(D145="","",SUM($D$5:D145))</f>
        <v/>
      </c>
    </row>
    <row r="146">
      <c r="A146" s="38" t="n"/>
      <c r="B146" s="26" t="n"/>
      <c r="C146" s="26" t="n"/>
      <c r="D146" s="24" t="n"/>
      <c r="E146" s="26" t="n"/>
      <c r="F146" s="28">
        <f>IF(D146="","",SUM($D$5:D146))</f>
        <v/>
      </c>
    </row>
    <row r="147">
      <c r="A147" s="38" t="n"/>
      <c r="B147" s="26" t="n"/>
      <c r="C147" s="26" t="n"/>
      <c r="D147" s="24" t="n"/>
      <c r="E147" s="26" t="n"/>
      <c r="F147" s="28">
        <f>IF(D147="","",SUM($D$5:D147))</f>
        <v/>
      </c>
    </row>
    <row r="148">
      <c r="A148" s="38" t="n"/>
      <c r="B148" s="26" t="n"/>
      <c r="C148" s="26" t="n"/>
      <c r="D148" s="24" t="n"/>
      <c r="E148" s="26" t="n"/>
      <c r="F148" s="28">
        <f>IF(D148="","",SUM($D$5:D148))</f>
        <v/>
      </c>
    </row>
    <row r="149">
      <c r="A149" s="38" t="n"/>
      <c r="B149" s="26" t="n"/>
      <c r="C149" s="26" t="n"/>
      <c r="D149" s="24" t="n"/>
      <c r="E149" s="26" t="n"/>
      <c r="F149" s="28">
        <f>IF(D149="","",SUM($D$5:D149))</f>
        <v/>
      </c>
    </row>
    <row r="150">
      <c r="A150" s="38" t="n"/>
      <c r="B150" s="26" t="n"/>
      <c r="C150" s="26" t="n"/>
      <c r="D150" s="24" t="n"/>
      <c r="E150" s="26" t="n"/>
      <c r="F150" s="28">
        <f>IF(D150="","",SUM($D$5:D150))</f>
        <v/>
      </c>
    </row>
    <row r="151">
      <c r="A151" s="38" t="n"/>
      <c r="B151" s="26" t="n"/>
      <c r="C151" s="26" t="n"/>
      <c r="D151" s="24" t="n"/>
      <c r="E151" s="26" t="n"/>
      <c r="F151" s="28">
        <f>IF(D151="","",SUM($D$5:D151))</f>
        <v/>
      </c>
    </row>
    <row r="152">
      <c r="A152" s="38" t="n"/>
      <c r="B152" s="26" t="n"/>
      <c r="C152" s="26" t="n"/>
      <c r="D152" s="24" t="n"/>
      <c r="E152" s="26" t="n"/>
      <c r="F152" s="28">
        <f>IF(D152="","",SUM($D$5:D152))</f>
        <v/>
      </c>
    </row>
    <row r="153">
      <c r="A153" s="38" t="n"/>
      <c r="B153" s="26" t="n"/>
      <c r="C153" s="26" t="n"/>
      <c r="D153" s="24" t="n"/>
      <c r="E153" s="26" t="n"/>
      <c r="F153" s="28">
        <f>IF(D153="","",SUM($D$5:D153))</f>
        <v/>
      </c>
    </row>
    <row r="154">
      <c r="A154" s="38" t="n"/>
      <c r="B154" s="26" t="n"/>
      <c r="C154" s="26" t="n"/>
      <c r="D154" s="24" t="n"/>
      <c r="E154" s="26" t="n"/>
      <c r="F154" s="28">
        <f>IF(D154="","",SUM($D$5:D154))</f>
        <v/>
      </c>
    </row>
    <row r="155">
      <c r="A155" s="38" t="n"/>
      <c r="B155" s="26" t="n"/>
      <c r="C155" s="26" t="n"/>
      <c r="D155" s="24" t="n"/>
      <c r="E155" s="26" t="n"/>
      <c r="F155" s="28">
        <f>IF(D155="","",SUM($D$5:D155))</f>
        <v/>
      </c>
    </row>
    <row r="156">
      <c r="A156" s="38" t="n"/>
      <c r="B156" s="26" t="n"/>
      <c r="C156" s="26" t="n"/>
      <c r="D156" s="24" t="n"/>
      <c r="E156" s="26" t="n"/>
      <c r="F156" s="28">
        <f>IF(D156="","",SUM($D$5:D156))</f>
        <v/>
      </c>
    </row>
    <row r="157">
      <c r="A157" s="38" t="n"/>
      <c r="B157" s="26" t="n"/>
      <c r="C157" s="26" t="n"/>
      <c r="D157" s="24" t="n"/>
      <c r="E157" s="26" t="n"/>
      <c r="F157" s="28">
        <f>IF(D157="","",SUM($D$5:D157))</f>
        <v/>
      </c>
    </row>
    <row r="158">
      <c r="A158" s="38" t="n"/>
      <c r="B158" s="26" t="n"/>
      <c r="C158" s="26" t="n"/>
      <c r="D158" s="24" t="n"/>
      <c r="E158" s="26" t="n"/>
      <c r="F158" s="28">
        <f>IF(D158="","",SUM($D$5:D158))</f>
        <v/>
      </c>
    </row>
    <row r="159">
      <c r="A159" s="38" t="n"/>
      <c r="B159" s="26" t="n"/>
      <c r="C159" s="26" t="n"/>
      <c r="D159" s="24" t="n"/>
      <c r="E159" s="26" t="n"/>
      <c r="F159" s="28">
        <f>IF(D159="","",SUM($D$5:D159))</f>
        <v/>
      </c>
    </row>
    <row r="160">
      <c r="A160" s="38" t="n"/>
      <c r="B160" s="26" t="n"/>
      <c r="C160" s="26" t="n"/>
      <c r="D160" s="24" t="n"/>
      <c r="E160" s="26" t="n"/>
      <c r="F160" s="28">
        <f>IF(D160="","",SUM($D$5:D160))</f>
        <v/>
      </c>
    </row>
    <row r="161">
      <c r="A161" s="38" t="n"/>
      <c r="B161" s="26" t="n"/>
      <c r="C161" s="26" t="n"/>
      <c r="D161" s="24" t="n"/>
      <c r="E161" s="26" t="n"/>
      <c r="F161" s="28">
        <f>IF(D161="","",SUM($D$5:D161))</f>
        <v/>
      </c>
    </row>
    <row r="162">
      <c r="A162" s="38" t="n"/>
      <c r="B162" s="26" t="n"/>
      <c r="C162" s="26" t="n"/>
      <c r="D162" s="24" t="n"/>
      <c r="E162" s="26" t="n"/>
      <c r="F162" s="28">
        <f>IF(D162="","",SUM($D$5:D162))</f>
        <v/>
      </c>
    </row>
    <row r="163">
      <c r="A163" s="38" t="n"/>
      <c r="B163" s="26" t="n"/>
      <c r="C163" s="26" t="n"/>
      <c r="D163" s="24" t="n"/>
      <c r="E163" s="26" t="n"/>
      <c r="F163" s="28">
        <f>IF(D163="","",SUM($D$5:D163))</f>
        <v/>
      </c>
    </row>
    <row r="164">
      <c r="A164" s="38" t="n"/>
      <c r="B164" s="26" t="n"/>
      <c r="C164" s="26" t="n"/>
      <c r="D164" s="24" t="n"/>
      <c r="E164" s="26" t="n"/>
      <c r="F164" s="28">
        <f>IF(D164="","",SUM($D$5:D164))</f>
        <v/>
      </c>
    </row>
    <row r="165">
      <c r="A165" s="38" t="n"/>
      <c r="B165" s="26" t="n"/>
      <c r="C165" s="26" t="n"/>
      <c r="D165" s="24" t="n"/>
      <c r="E165" s="26" t="n"/>
      <c r="F165" s="28">
        <f>IF(D165="","",SUM($D$5:D165))</f>
        <v/>
      </c>
    </row>
    <row r="166">
      <c r="A166" s="38" t="n"/>
      <c r="B166" s="26" t="n"/>
      <c r="C166" s="26" t="n"/>
      <c r="D166" s="24" t="n"/>
      <c r="E166" s="26" t="n"/>
      <c r="F166" s="28">
        <f>IF(D166="","",SUM($D$5:D166))</f>
        <v/>
      </c>
    </row>
    <row r="167">
      <c r="A167" s="38" t="n"/>
      <c r="B167" s="26" t="n"/>
      <c r="C167" s="26" t="n"/>
      <c r="D167" s="24" t="n"/>
      <c r="E167" s="26" t="n"/>
      <c r="F167" s="28">
        <f>IF(D167="","",SUM($D$5:D167))</f>
        <v/>
      </c>
    </row>
    <row r="168">
      <c r="A168" s="38" t="n"/>
      <c r="B168" s="26" t="n"/>
      <c r="C168" s="26" t="n"/>
      <c r="D168" s="24" t="n"/>
      <c r="E168" s="26" t="n"/>
      <c r="F168" s="28">
        <f>IF(D168="","",SUM($D$5:D168))</f>
        <v/>
      </c>
    </row>
    <row r="169">
      <c r="A169" s="38" t="n"/>
      <c r="B169" s="26" t="n"/>
      <c r="C169" s="26" t="n"/>
      <c r="D169" s="24" t="n"/>
      <c r="E169" s="26" t="n"/>
      <c r="F169" s="28">
        <f>IF(D169="","",SUM($D$5:D169))</f>
        <v/>
      </c>
    </row>
    <row r="170">
      <c r="A170" s="38" t="n"/>
      <c r="B170" s="26" t="n"/>
      <c r="C170" s="26" t="n"/>
      <c r="D170" s="24" t="n"/>
      <c r="E170" s="26" t="n"/>
      <c r="F170" s="28">
        <f>IF(D170="","",SUM($D$5:D170))</f>
        <v/>
      </c>
    </row>
    <row r="171">
      <c r="A171" s="38" t="n"/>
      <c r="B171" s="26" t="n"/>
      <c r="C171" s="26" t="n"/>
      <c r="D171" s="24" t="n"/>
      <c r="E171" s="26" t="n"/>
      <c r="F171" s="28">
        <f>IF(D171="","",SUM($D$5:D171))</f>
        <v/>
      </c>
    </row>
    <row r="172">
      <c r="A172" s="38" t="n"/>
      <c r="B172" s="26" t="n"/>
      <c r="C172" s="26" t="n"/>
      <c r="D172" s="24" t="n"/>
      <c r="E172" s="26" t="n"/>
      <c r="F172" s="28">
        <f>IF(D172="","",SUM($D$5:D172))</f>
        <v/>
      </c>
    </row>
    <row r="173">
      <c r="A173" s="38" t="n"/>
      <c r="B173" s="26" t="n"/>
      <c r="C173" s="26" t="n"/>
      <c r="D173" s="24" t="n"/>
      <c r="E173" s="26" t="n"/>
      <c r="F173" s="28">
        <f>IF(D173="","",SUM($D$5:D173))</f>
        <v/>
      </c>
    </row>
    <row r="174">
      <c r="A174" s="38" t="n"/>
      <c r="B174" s="26" t="n"/>
      <c r="C174" s="26" t="n"/>
      <c r="D174" s="24" t="n"/>
      <c r="E174" s="26" t="n"/>
      <c r="F174" s="28">
        <f>IF(D174="","",SUM($D$5:D174))</f>
        <v/>
      </c>
    </row>
    <row r="175">
      <c r="A175" s="38" t="n"/>
      <c r="B175" s="26" t="n"/>
      <c r="C175" s="26" t="n"/>
      <c r="D175" s="24" t="n"/>
      <c r="E175" s="26" t="n"/>
      <c r="F175" s="28">
        <f>IF(D175="","",SUM($D$5:D175))</f>
        <v/>
      </c>
    </row>
    <row r="176">
      <c r="A176" s="38" t="n"/>
      <c r="B176" s="26" t="n"/>
      <c r="C176" s="26" t="n"/>
      <c r="D176" s="24" t="n"/>
      <c r="E176" s="26" t="n"/>
      <c r="F176" s="28">
        <f>IF(D176="","",SUM($D$5:D176))</f>
        <v/>
      </c>
    </row>
    <row r="177">
      <c r="A177" s="38" t="n"/>
      <c r="B177" s="26" t="n"/>
      <c r="C177" s="26" t="n"/>
      <c r="D177" s="24" t="n"/>
      <c r="E177" s="26" t="n"/>
      <c r="F177" s="28">
        <f>IF(D177="","",SUM($D$5:D177))</f>
        <v/>
      </c>
    </row>
    <row r="178">
      <c r="A178" s="38" t="n"/>
      <c r="B178" s="26" t="n"/>
      <c r="C178" s="26" t="n"/>
      <c r="D178" s="24" t="n"/>
      <c r="E178" s="26" t="n"/>
      <c r="F178" s="28">
        <f>IF(D178="","",SUM($D$5:D178))</f>
        <v/>
      </c>
    </row>
    <row r="179">
      <c r="A179" s="38" t="n"/>
      <c r="B179" s="26" t="n"/>
      <c r="C179" s="26" t="n"/>
      <c r="D179" s="24" t="n"/>
      <c r="E179" s="26" t="n"/>
      <c r="F179" s="28">
        <f>IF(D179="","",SUM($D$5:D179))</f>
        <v/>
      </c>
    </row>
    <row r="180">
      <c r="A180" s="38" t="n"/>
      <c r="B180" s="26" t="n"/>
      <c r="C180" s="26" t="n"/>
      <c r="D180" s="24" t="n"/>
      <c r="E180" s="26" t="n"/>
      <c r="F180" s="28">
        <f>IF(D180="","",SUM($D$5:D180))</f>
        <v/>
      </c>
    </row>
    <row r="181">
      <c r="A181" s="38" t="n"/>
      <c r="B181" s="26" t="n"/>
      <c r="C181" s="26" t="n"/>
      <c r="D181" s="24" t="n"/>
      <c r="E181" s="26" t="n"/>
      <c r="F181" s="28">
        <f>IF(D181="","",SUM($D$5:D181))</f>
        <v/>
      </c>
    </row>
    <row r="182">
      <c r="A182" s="38" t="n"/>
      <c r="B182" s="26" t="n"/>
      <c r="C182" s="26" t="n"/>
      <c r="D182" s="24" t="n"/>
      <c r="E182" s="26" t="n"/>
      <c r="F182" s="28">
        <f>IF(D182="","",SUM($D$5:D182))</f>
        <v/>
      </c>
    </row>
    <row r="183">
      <c r="A183" s="38" t="n"/>
      <c r="B183" s="26" t="n"/>
      <c r="C183" s="26" t="n"/>
      <c r="D183" s="24" t="n"/>
      <c r="E183" s="26" t="n"/>
      <c r="F183" s="28">
        <f>IF(D183="","",SUM($D$5:D183))</f>
        <v/>
      </c>
    </row>
    <row r="184">
      <c r="A184" s="38" t="n"/>
      <c r="B184" s="26" t="n"/>
      <c r="C184" s="26" t="n"/>
      <c r="D184" s="24" t="n"/>
      <c r="E184" s="26" t="n"/>
      <c r="F184" s="28">
        <f>IF(D184="","",SUM($D$5:D184))</f>
        <v/>
      </c>
    </row>
    <row r="185">
      <c r="A185" s="38" t="n"/>
      <c r="B185" s="26" t="n"/>
      <c r="C185" s="26" t="n"/>
      <c r="D185" s="24" t="n"/>
      <c r="E185" s="26" t="n"/>
      <c r="F185" s="28">
        <f>IF(D185="","",SUM($D$5:D185))</f>
        <v/>
      </c>
    </row>
    <row r="186">
      <c r="A186" s="38" t="n"/>
      <c r="B186" s="26" t="n"/>
      <c r="C186" s="26" t="n"/>
      <c r="D186" s="24" t="n"/>
      <c r="E186" s="26" t="n"/>
      <c r="F186" s="28">
        <f>IF(D186="","",SUM($D$5:D186))</f>
        <v/>
      </c>
    </row>
    <row r="187">
      <c r="A187" s="38" t="n"/>
      <c r="B187" s="26" t="n"/>
      <c r="C187" s="26" t="n"/>
      <c r="D187" s="24" t="n"/>
      <c r="E187" s="26" t="n"/>
      <c r="F187" s="28">
        <f>IF(D187="","",SUM($D$5:D187))</f>
        <v/>
      </c>
    </row>
    <row r="188">
      <c r="A188" s="38" t="n"/>
      <c r="B188" s="26" t="n"/>
      <c r="C188" s="26" t="n"/>
      <c r="D188" s="24" t="n"/>
      <c r="E188" s="26" t="n"/>
      <c r="F188" s="28">
        <f>IF(D188="","",SUM($D$5:D188))</f>
        <v/>
      </c>
    </row>
    <row r="189">
      <c r="A189" s="38" t="n"/>
      <c r="B189" s="26" t="n"/>
      <c r="C189" s="26" t="n"/>
      <c r="D189" s="24" t="n"/>
      <c r="E189" s="26" t="n"/>
      <c r="F189" s="28">
        <f>IF(D189="","",SUM($D$5:D189))</f>
        <v/>
      </c>
    </row>
    <row r="190">
      <c r="A190" s="38" t="n"/>
      <c r="B190" s="26" t="n"/>
      <c r="C190" s="26" t="n"/>
      <c r="D190" s="24" t="n"/>
      <c r="E190" s="26" t="n"/>
      <c r="F190" s="28">
        <f>IF(D190="","",SUM($D$5:D190))</f>
        <v/>
      </c>
    </row>
    <row r="191">
      <c r="A191" s="38" t="n"/>
      <c r="B191" s="26" t="n"/>
      <c r="C191" s="26" t="n"/>
      <c r="D191" s="24" t="n"/>
      <c r="E191" s="26" t="n"/>
      <c r="F191" s="28">
        <f>IF(D191="","",SUM($D$5:D191))</f>
        <v/>
      </c>
    </row>
    <row r="192">
      <c r="A192" s="38" t="n"/>
      <c r="B192" s="26" t="n"/>
      <c r="C192" s="26" t="n"/>
      <c r="D192" s="24" t="n"/>
      <c r="E192" s="26" t="n"/>
      <c r="F192" s="28">
        <f>IF(D192="","",SUM($D$5:D192))</f>
        <v/>
      </c>
    </row>
    <row r="193">
      <c r="A193" s="38" t="n"/>
      <c r="B193" s="26" t="n"/>
      <c r="C193" s="26" t="n"/>
      <c r="D193" s="24" t="n"/>
      <c r="E193" s="26" t="n"/>
      <c r="F193" s="28">
        <f>IF(D193="","",SUM($D$5:D193))</f>
        <v/>
      </c>
    </row>
    <row r="194">
      <c r="A194" s="38" t="n"/>
      <c r="B194" s="26" t="n"/>
      <c r="C194" s="26" t="n"/>
      <c r="D194" s="24" t="n"/>
      <c r="E194" s="26" t="n"/>
      <c r="F194" s="28">
        <f>IF(D194="","",SUM($D$5:D194))</f>
        <v/>
      </c>
    </row>
    <row r="195">
      <c r="A195" s="38" t="n"/>
      <c r="B195" s="26" t="n"/>
      <c r="C195" s="26" t="n"/>
      <c r="D195" s="24" t="n"/>
      <c r="E195" s="26" t="n"/>
      <c r="F195" s="28">
        <f>IF(D195="","",SUM($D$5:D195))</f>
        <v/>
      </c>
    </row>
    <row r="196">
      <c r="A196" s="38" t="n"/>
      <c r="B196" s="26" t="n"/>
      <c r="C196" s="26" t="n"/>
      <c r="D196" s="24" t="n"/>
      <c r="E196" s="26" t="n"/>
      <c r="F196" s="28">
        <f>IF(D196="","",SUM($D$5:D196))</f>
        <v/>
      </c>
    </row>
    <row r="197">
      <c r="A197" s="38" t="n"/>
      <c r="B197" s="26" t="n"/>
      <c r="C197" s="26" t="n"/>
      <c r="D197" s="24" t="n"/>
      <c r="E197" s="26" t="n"/>
      <c r="F197" s="28">
        <f>IF(D197="","",SUM($D$5:D197))</f>
        <v/>
      </c>
    </row>
    <row r="198">
      <c r="A198" s="38" t="n"/>
      <c r="B198" s="26" t="n"/>
      <c r="C198" s="26" t="n"/>
      <c r="D198" s="24" t="n"/>
      <c r="E198" s="26" t="n"/>
      <c r="F198" s="28">
        <f>IF(D198="","",SUM($D$5:D198))</f>
        <v/>
      </c>
    </row>
    <row r="199">
      <c r="A199" s="38" t="n"/>
      <c r="B199" s="26" t="n"/>
      <c r="C199" s="26" t="n"/>
      <c r="D199" s="24" t="n"/>
      <c r="E199" s="26" t="n"/>
      <c r="F199" s="28">
        <f>IF(D199="","",SUM($D$5:D199))</f>
        <v/>
      </c>
    </row>
    <row r="200">
      <c r="A200" s="38" t="n"/>
      <c r="B200" s="26" t="n"/>
      <c r="C200" s="26" t="n"/>
      <c r="D200" s="24" t="n"/>
      <c r="E200" s="26" t="n"/>
      <c r="F200" s="28">
        <f>IF(D200="","",SUM($D$5:D200))</f>
        <v/>
      </c>
    </row>
    <row r="201">
      <c r="A201" s="38" t="n"/>
      <c r="B201" s="26" t="n"/>
      <c r="C201" s="26" t="n"/>
      <c r="D201" s="24" t="n"/>
      <c r="E201" s="26" t="n"/>
      <c r="F201" s="28">
        <f>IF(D201="","",SUM($D$5:D201))</f>
        <v/>
      </c>
    </row>
    <row r="202">
      <c r="A202" s="38" t="n"/>
      <c r="B202" s="26" t="n"/>
      <c r="C202" s="26" t="n"/>
      <c r="D202" s="24" t="n"/>
      <c r="E202" s="26" t="n"/>
      <c r="F202" s="28">
        <f>IF(D202="","",SUM($D$5:D202))</f>
        <v/>
      </c>
    </row>
    <row r="203">
      <c r="A203" s="38" t="n"/>
      <c r="B203" s="26" t="n"/>
      <c r="C203" s="26" t="n"/>
      <c r="D203" s="24" t="n"/>
      <c r="E203" s="26" t="n"/>
      <c r="F203" s="28">
        <f>IF(D203="","",SUM($D$5:D203))</f>
        <v/>
      </c>
    </row>
    <row r="204">
      <c r="A204" s="38" t="n"/>
      <c r="B204" s="26" t="n"/>
      <c r="C204" s="26" t="n"/>
      <c r="D204" s="24" t="n"/>
      <c r="E204" s="26" t="n"/>
      <c r="F204" s="28">
        <f>IF(D204="","",SUM($D$5:D204))</f>
        <v/>
      </c>
    </row>
    <row r="205">
      <c r="A205" s="38" t="n"/>
      <c r="B205" s="26" t="n"/>
      <c r="C205" s="26" t="n"/>
      <c r="D205" s="24" t="n"/>
      <c r="E205" s="26" t="n"/>
      <c r="F205" s="28">
        <f>IF(D205="","",SUM($D$5:D205))</f>
        <v/>
      </c>
    </row>
    <row r="206">
      <c r="A206" s="38" t="n"/>
      <c r="B206" s="26" t="n"/>
      <c r="C206" s="26" t="n"/>
      <c r="D206" s="24" t="n"/>
      <c r="E206" s="26" t="n"/>
      <c r="F206" s="28">
        <f>IF(D206="","",SUM($D$5:D206))</f>
        <v/>
      </c>
    </row>
    <row r="207">
      <c r="A207" s="38" t="n"/>
      <c r="B207" s="26" t="n"/>
      <c r="C207" s="26" t="n"/>
      <c r="D207" s="24" t="n"/>
      <c r="E207" s="26" t="n"/>
      <c r="F207" s="28">
        <f>IF(D207="","",SUM($D$5:D207))</f>
        <v/>
      </c>
    </row>
    <row r="208">
      <c r="A208" s="38" t="n"/>
      <c r="B208" s="26" t="n"/>
      <c r="C208" s="26" t="n"/>
      <c r="D208" s="24" t="n"/>
      <c r="E208" s="26" t="n"/>
      <c r="F208" s="28">
        <f>IF(D208="","",SUM($D$5:D208))</f>
        <v/>
      </c>
    </row>
    <row r="209">
      <c r="A209" s="38" t="n"/>
      <c r="B209" s="26" t="n"/>
      <c r="C209" s="26" t="n"/>
      <c r="D209" s="24" t="n"/>
      <c r="E209" s="26" t="n"/>
      <c r="F209" s="28">
        <f>IF(D209="","",SUM($D$5:D209))</f>
        <v/>
      </c>
    </row>
    <row r="210">
      <c r="A210" s="38" t="n"/>
      <c r="B210" s="26" t="n"/>
      <c r="C210" s="26" t="n"/>
      <c r="D210" s="24" t="n"/>
      <c r="E210" s="26" t="n"/>
      <c r="F210" s="28">
        <f>IF(D210="","",SUM($D$5:D210))</f>
        <v/>
      </c>
    </row>
    <row r="211">
      <c r="A211" s="38" t="n"/>
      <c r="B211" s="26" t="n"/>
      <c r="C211" s="26" t="n"/>
      <c r="D211" s="24" t="n"/>
      <c r="E211" s="26" t="n"/>
      <c r="F211" s="28">
        <f>IF(D211="","",SUM($D$5:D211))</f>
        <v/>
      </c>
    </row>
    <row r="212">
      <c r="A212" s="38" t="n"/>
      <c r="B212" s="26" t="n"/>
      <c r="C212" s="26" t="n"/>
      <c r="D212" s="24" t="n"/>
      <c r="E212" s="26" t="n"/>
      <c r="F212" s="28">
        <f>IF(D212="","",SUM($D$5:D212))</f>
        <v/>
      </c>
    </row>
    <row r="213">
      <c r="A213" s="38" t="n"/>
      <c r="B213" s="26" t="n"/>
      <c r="C213" s="26" t="n"/>
      <c r="D213" s="24" t="n"/>
      <c r="E213" s="26" t="n"/>
      <c r="F213" s="28">
        <f>IF(D213="","",SUM($D$5:D213))</f>
        <v/>
      </c>
    </row>
    <row r="214">
      <c r="A214" s="38" t="n"/>
      <c r="B214" s="26" t="n"/>
      <c r="C214" s="26" t="n"/>
      <c r="D214" s="24" t="n"/>
      <c r="E214" s="26" t="n"/>
      <c r="F214" s="28">
        <f>IF(D214="","",SUM($D$5:D214))</f>
        <v/>
      </c>
    </row>
    <row r="215">
      <c r="A215" s="38" t="n"/>
      <c r="B215" s="26" t="n"/>
      <c r="C215" s="26" t="n"/>
      <c r="D215" s="24" t="n"/>
      <c r="E215" s="26" t="n"/>
      <c r="F215" s="28">
        <f>IF(D215="","",SUM($D$5:D215))</f>
        <v/>
      </c>
    </row>
    <row r="216">
      <c r="A216" s="38" t="n"/>
      <c r="B216" s="26" t="n"/>
      <c r="C216" s="26" t="n"/>
      <c r="D216" s="24" t="n"/>
      <c r="E216" s="26" t="n"/>
      <c r="F216" s="28">
        <f>IF(D216="","",SUM($D$5:D216))</f>
        <v/>
      </c>
    </row>
    <row r="217">
      <c r="A217" s="38" t="n"/>
      <c r="B217" s="26" t="n"/>
      <c r="C217" s="26" t="n"/>
      <c r="D217" s="24" t="n"/>
      <c r="E217" s="26" t="n"/>
      <c r="F217" s="28">
        <f>IF(D217="","",SUM($D$5:D217))</f>
        <v/>
      </c>
    </row>
    <row r="218">
      <c r="A218" s="38" t="n"/>
      <c r="B218" s="26" t="n"/>
      <c r="C218" s="26" t="n"/>
      <c r="D218" s="24" t="n"/>
      <c r="E218" s="26" t="n"/>
      <c r="F218" s="28">
        <f>IF(D218="","",SUM($D$5:D218))</f>
        <v/>
      </c>
    </row>
    <row r="219">
      <c r="A219" s="38" t="n"/>
      <c r="B219" s="26" t="n"/>
      <c r="C219" s="26" t="n"/>
      <c r="D219" s="24" t="n"/>
      <c r="E219" s="26" t="n"/>
      <c r="F219" s="28">
        <f>IF(D219="","",SUM($D$5:D219))</f>
        <v/>
      </c>
    </row>
    <row r="220">
      <c r="A220" s="38" t="n"/>
      <c r="B220" s="26" t="n"/>
      <c r="C220" s="26" t="n"/>
      <c r="D220" s="24" t="n"/>
      <c r="E220" s="26" t="n"/>
      <c r="F220" s="28">
        <f>IF(D220="","",SUM($D$5:D220))</f>
        <v/>
      </c>
    </row>
    <row r="221">
      <c r="A221" s="38" t="n"/>
      <c r="B221" s="26" t="n"/>
      <c r="C221" s="26" t="n"/>
      <c r="D221" s="24" t="n"/>
      <c r="E221" s="26" t="n"/>
      <c r="F221" s="28">
        <f>IF(D221="","",SUM($D$5:D221))</f>
        <v/>
      </c>
    </row>
    <row r="222">
      <c r="A222" s="38" t="n"/>
      <c r="B222" s="26" t="n"/>
      <c r="C222" s="26" t="n"/>
      <c r="D222" s="24" t="n"/>
      <c r="E222" s="26" t="n"/>
      <c r="F222" s="28">
        <f>IF(D222="","",SUM($D$5:D222))</f>
        <v/>
      </c>
    </row>
    <row r="223">
      <c r="A223" s="38" t="n"/>
      <c r="B223" s="26" t="n"/>
      <c r="C223" s="26" t="n"/>
      <c r="D223" s="24" t="n"/>
      <c r="E223" s="26" t="n"/>
      <c r="F223" s="28">
        <f>IF(D223="","",SUM($D$5:D223))</f>
        <v/>
      </c>
    </row>
    <row r="224">
      <c r="A224" s="38" t="n"/>
      <c r="B224" s="26" t="n"/>
      <c r="C224" s="26" t="n"/>
      <c r="D224" s="24" t="n"/>
      <c r="E224" s="26" t="n"/>
      <c r="F224" s="28">
        <f>IF(D224="","",SUM($D$5:D224))</f>
        <v/>
      </c>
    </row>
    <row r="225">
      <c r="A225" s="38" t="n"/>
      <c r="B225" s="26" t="n"/>
      <c r="C225" s="26" t="n"/>
      <c r="D225" s="24" t="n"/>
      <c r="E225" s="26" t="n"/>
      <c r="F225" s="28">
        <f>IF(D225="","",SUM($D$5:D225))</f>
        <v/>
      </c>
    </row>
    <row r="226">
      <c r="A226" s="38" t="n"/>
      <c r="B226" s="26" t="n"/>
      <c r="C226" s="26" t="n"/>
      <c r="D226" s="24" t="n"/>
      <c r="E226" s="26" t="n"/>
      <c r="F226" s="28">
        <f>IF(D226="","",SUM($D$5:D226))</f>
        <v/>
      </c>
    </row>
    <row r="227">
      <c r="A227" s="38" t="n"/>
      <c r="B227" s="26" t="n"/>
      <c r="C227" s="26" t="n"/>
      <c r="D227" s="24" t="n"/>
      <c r="E227" s="26" t="n"/>
      <c r="F227" s="28">
        <f>IF(D227="","",SUM($D$5:D227))</f>
        <v/>
      </c>
    </row>
    <row r="228">
      <c r="A228" s="38" t="n"/>
      <c r="B228" s="26" t="n"/>
      <c r="C228" s="26" t="n"/>
      <c r="D228" s="24" t="n"/>
      <c r="E228" s="26" t="n"/>
      <c r="F228" s="28">
        <f>IF(D228="","",SUM($D$5:D228))</f>
        <v/>
      </c>
    </row>
    <row r="229">
      <c r="A229" s="38" t="n"/>
      <c r="B229" s="26" t="n"/>
      <c r="C229" s="26" t="n"/>
      <c r="D229" s="24" t="n"/>
      <c r="E229" s="26" t="n"/>
      <c r="F229" s="28">
        <f>IF(D229="","",SUM($D$5:D229))</f>
        <v/>
      </c>
    </row>
    <row r="230">
      <c r="A230" s="38" t="n"/>
      <c r="B230" s="26" t="n"/>
      <c r="C230" s="26" t="n"/>
      <c r="D230" s="24" t="n"/>
      <c r="E230" s="26" t="n"/>
      <c r="F230" s="28">
        <f>IF(D230="","",SUM($D$5:D230))</f>
        <v/>
      </c>
    </row>
    <row r="231">
      <c r="A231" s="38" t="n"/>
      <c r="B231" s="26" t="n"/>
      <c r="C231" s="26" t="n"/>
      <c r="D231" s="24" t="n"/>
      <c r="E231" s="26" t="n"/>
      <c r="F231" s="28">
        <f>IF(D231="","",SUM($D$5:D231))</f>
        <v/>
      </c>
    </row>
    <row r="232">
      <c r="A232" s="38" t="n"/>
      <c r="B232" s="26" t="n"/>
      <c r="C232" s="26" t="n"/>
      <c r="D232" s="24" t="n"/>
      <c r="E232" s="26" t="n"/>
      <c r="F232" s="28">
        <f>IF(D232="","",SUM($D$5:D232))</f>
        <v/>
      </c>
    </row>
    <row r="233">
      <c r="A233" s="38" t="n"/>
      <c r="B233" s="26" t="n"/>
      <c r="C233" s="26" t="n"/>
      <c r="D233" s="24" t="n"/>
      <c r="E233" s="26" t="n"/>
      <c r="F233" s="28">
        <f>IF(D233="","",SUM($D$5:D233))</f>
        <v/>
      </c>
    </row>
    <row r="234">
      <c r="A234" s="38" t="n"/>
      <c r="B234" s="26" t="n"/>
      <c r="C234" s="26" t="n"/>
      <c r="D234" s="24" t="n"/>
      <c r="E234" s="26" t="n"/>
      <c r="F234" s="28">
        <f>IF(D234="","",SUM($D$5:D234))</f>
        <v/>
      </c>
    </row>
    <row r="235">
      <c r="A235" s="38" t="n"/>
      <c r="B235" s="26" t="n"/>
      <c r="C235" s="26" t="n"/>
      <c r="D235" s="24" t="n"/>
      <c r="E235" s="26" t="n"/>
      <c r="F235" s="28">
        <f>IF(D235="","",SUM($D$5:D235))</f>
        <v/>
      </c>
    </row>
    <row r="236">
      <c r="A236" s="38" t="n"/>
      <c r="B236" s="26" t="n"/>
      <c r="C236" s="26" t="n"/>
      <c r="D236" s="24" t="n"/>
      <c r="E236" s="26" t="n"/>
      <c r="F236" s="28">
        <f>IF(D236="","",SUM($D$5:D236))</f>
        <v/>
      </c>
    </row>
    <row r="237">
      <c r="A237" s="38" t="n"/>
      <c r="B237" s="26" t="n"/>
      <c r="C237" s="26" t="n"/>
      <c r="D237" s="24" t="n"/>
      <c r="E237" s="26" t="n"/>
      <c r="F237" s="28">
        <f>IF(D237="","",SUM($D$5:D237))</f>
        <v/>
      </c>
    </row>
    <row r="238">
      <c r="A238" s="38" t="n"/>
      <c r="B238" s="26" t="n"/>
      <c r="C238" s="26" t="n"/>
      <c r="D238" s="24" t="n"/>
      <c r="E238" s="26" t="n"/>
      <c r="F238" s="28">
        <f>IF(D238="","",SUM($D$5:D238))</f>
        <v/>
      </c>
    </row>
    <row r="239">
      <c r="A239" s="38" t="n"/>
      <c r="B239" s="26" t="n"/>
      <c r="C239" s="26" t="n"/>
      <c r="D239" s="24" t="n"/>
      <c r="E239" s="26" t="n"/>
      <c r="F239" s="28">
        <f>IF(D239="","",SUM($D$5:D239))</f>
        <v/>
      </c>
    </row>
    <row r="240">
      <c r="A240" s="38" t="n"/>
      <c r="B240" s="26" t="n"/>
      <c r="C240" s="26" t="n"/>
      <c r="D240" s="24" t="n"/>
      <c r="E240" s="26" t="n"/>
      <c r="F240" s="28">
        <f>IF(D240="","",SUM($D$5:D240))</f>
        <v/>
      </c>
    </row>
    <row r="241">
      <c r="A241" s="38" t="n"/>
      <c r="B241" s="26" t="n"/>
      <c r="C241" s="26" t="n"/>
      <c r="D241" s="24" t="n"/>
      <c r="E241" s="26" t="n"/>
      <c r="F241" s="28">
        <f>IF(D241="","",SUM($D$5:D241))</f>
        <v/>
      </c>
    </row>
    <row r="242">
      <c r="A242" s="38" t="n"/>
      <c r="B242" s="26" t="n"/>
      <c r="C242" s="26" t="n"/>
      <c r="D242" s="24" t="n"/>
      <c r="E242" s="26" t="n"/>
      <c r="F242" s="28">
        <f>IF(D242="","",SUM($D$5:D242))</f>
        <v/>
      </c>
    </row>
    <row r="243">
      <c r="A243" s="38" t="n"/>
      <c r="B243" s="26" t="n"/>
      <c r="C243" s="26" t="n"/>
      <c r="D243" s="24" t="n"/>
      <c r="E243" s="26" t="n"/>
      <c r="F243" s="28">
        <f>IF(D243="","",SUM($D$5:D243))</f>
        <v/>
      </c>
    </row>
    <row r="244">
      <c r="A244" s="38" t="n"/>
      <c r="B244" s="26" t="n"/>
      <c r="C244" s="26" t="n"/>
      <c r="D244" s="24" t="n"/>
      <c r="E244" s="26" t="n"/>
      <c r="F244" s="28">
        <f>IF(D244="","",SUM($D$5:D244))</f>
        <v/>
      </c>
    </row>
    <row r="245">
      <c r="A245" s="38" t="n"/>
      <c r="B245" s="26" t="n"/>
      <c r="C245" s="26" t="n"/>
      <c r="D245" s="24" t="n"/>
      <c r="E245" s="26" t="n"/>
      <c r="F245" s="28">
        <f>IF(D245="","",SUM($D$5:D245))</f>
        <v/>
      </c>
    </row>
    <row r="246">
      <c r="A246" s="38" t="n"/>
      <c r="B246" s="26" t="n"/>
      <c r="C246" s="26" t="n"/>
      <c r="D246" s="24" t="n"/>
      <c r="E246" s="26" t="n"/>
      <c r="F246" s="28">
        <f>IF(D246="","",SUM($D$5:D246))</f>
        <v/>
      </c>
    </row>
    <row r="247">
      <c r="A247" s="38" t="n"/>
      <c r="B247" s="26" t="n"/>
      <c r="C247" s="26" t="n"/>
      <c r="D247" s="24" t="n"/>
      <c r="E247" s="26" t="n"/>
      <c r="F247" s="28">
        <f>IF(D247="","",SUM($D$5:D247))</f>
        <v/>
      </c>
    </row>
    <row r="248">
      <c r="A248" s="38" t="n"/>
      <c r="B248" s="26" t="n"/>
      <c r="C248" s="26" t="n"/>
      <c r="D248" s="24" t="n"/>
      <c r="E248" s="26" t="n"/>
      <c r="F248" s="28">
        <f>IF(D248="","",SUM($D$5:D248))</f>
        <v/>
      </c>
    </row>
    <row r="249">
      <c r="A249" s="38" t="n"/>
      <c r="B249" s="26" t="n"/>
      <c r="C249" s="26" t="n"/>
      <c r="D249" s="24" t="n"/>
      <c r="E249" s="26" t="n"/>
      <c r="F249" s="28">
        <f>IF(D249="","",SUM($D$5:D249))</f>
        <v/>
      </c>
    </row>
    <row r="250">
      <c r="A250" s="38" t="n"/>
      <c r="B250" s="26" t="n"/>
      <c r="C250" s="26" t="n"/>
      <c r="D250" s="24" t="n"/>
      <c r="E250" s="26" t="n"/>
      <c r="F250" s="28">
        <f>IF(D250="","",SUM($D$5:D250))</f>
        <v/>
      </c>
    </row>
    <row r="251">
      <c r="A251" s="38" t="n"/>
      <c r="B251" s="26" t="n"/>
      <c r="C251" s="26" t="n"/>
      <c r="D251" s="24" t="n"/>
      <c r="E251" s="26" t="n"/>
      <c r="F251" s="28">
        <f>IF(D251="","",SUM($D$5:D251))</f>
        <v/>
      </c>
    </row>
    <row r="252">
      <c r="A252" s="38" t="n"/>
      <c r="B252" s="26" t="n"/>
      <c r="C252" s="26" t="n"/>
      <c r="D252" s="24" t="n"/>
      <c r="E252" s="26" t="n"/>
      <c r="F252" s="28">
        <f>IF(D252="","",SUM($D$5:D252))</f>
        <v/>
      </c>
    </row>
    <row r="253">
      <c r="A253" s="38" t="n"/>
      <c r="B253" s="26" t="n"/>
      <c r="C253" s="26" t="n"/>
      <c r="D253" s="24" t="n"/>
      <c r="E253" s="26" t="n"/>
      <c r="F253" s="28">
        <f>IF(D253="","",SUM($D$5:D253))</f>
        <v/>
      </c>
    </row>
    <row r="254">
      <c r="A254" s="38" t="n"/>
      <c r="B254" s="26" t="n"/>
      <c r="C254" s="26" t="n"/>
      <c r="D254" s="24" t="n"/>
      <c r="E254" s="26" t="n"/>
      <c r="F254" s="28">
        <f>IF(D254="","",SUM($D$5:D254))</f>
        <v/>
      </c>
    </row>
    <row r="255">
      <c r="A255" s="38" t="n"/>
      <c r="B255" s="26" t="n"/>
      <c r="C255" s="26" t="n"/>
      <c r="D255" s="24" t="n"/>
      <c r="E255" s="26" t="n"/>
      <c r="F255" s="28">
        <f>IF(D255="","",SUM($D$5:D255))</f>
        <v/>
      </c>
    </row>
    <row r="256">
      <c r="A256" s="38" t="n"/>
      <c r="B256" s="26" t="n"/>
      <c r="C256" s="26" t="n"/>
      <c r="D256" s="24" t="n"/>
      <c r="E256" s="26" t="n"/>
      <c r="F256" s="28">
        <f>IF(D256="","",SUM($D$5:D256))</f>
        <v/>
      </c>
    </row>
    <row r="257">
      <c r="A257" s="38" t="n"/>
      <c r="B257" s="26" t="n"/>
      <c r="C257" s="26" t="n"/>
      <c r="D257" s="24" t="n"/>
      <c r="E257" s="26" t="n"/>
      <c r="F257" s="28">
        <f>IF(D257="","",SUM($D$5:D257))</f>
        <v/>
      </c>
    </row>
    <row r="258">
      <c r="A258" s="38" t="n"/>
      <c r="B258" s="26" t="n"/>
      <c r="C258" s="26" t="n"/>
      <c r="D258" s="24" t="n"/>
      <c r="E258" s="26" t="n"/>
      <c r="F258" s="28">
        <f>IF(D258="","",SUM($D$5:D258))</f>
        <v/>
      </c>
    </row>
    <row r="259">
      <c r="A259" s="38" t="n"/>
      <c r="B259" s="26" t="n"/>
      <c r="C259" s="26" t="n"/>
      <c r="D259" s="24" t="n"/>
      <c r="E259" s="26" t="n"/>
      <c r="F259" s="28">
        <f>IF(D259="","",SUM($D$5:D259))</f>
        <v/>
      </c>
    </row>
    <row r="260">
      <c r="A260" s="38" t="n"/>
      <c r="B260" s="26" t="n"/>
      <c r="C260" s="26" t="n"/>
      <c r="D260" s="24" t="n"/>
      <c r="E260" s="26" t="n"/>
      <c r="F260" s="28">
        <f>IF(D260="","",SUM($D$5:D260))</f>
        <v/>
      </c>
    </row>
    <row r="261">
      <c r="A261" s="38" t="n"/>
      <c r="B261" s="26" t="n"/>
      <c r="C261" s="26" t="n"/>
      <c r="D261" s="24" t="n"/>
      <c r="E261" s="26" t="n"/>
      <c r="F261" s="28">
        <f>IF(D261="","",SUM($D$5:D261))</f>
        <v/>
      </c>
    </row>
    <row r="262">
      <c r="A262" s="38" t="n"/>
      <c r="B262" s="26" t="n"/>
      <c r="C262" s="26" t="n"/>
      <c r="D262" s="24" t="n"/>
      <c r="E262" s="26" t="n"/>
      <c r="F262" s="28">
        <f>IF(D262="","",SUM($D$5:D262))</f>
        <v/>
      </c>
    </row>
    <row r="263">
      <c r="A263" s="38" t="n"/>
      <c r="B263" s="26" t="n"/>
      <c r="C263" s="26" t="n"/>
      <c r="D263" s="24" t="n"/>
      <c r="E263" s="26" t="n"/>
      <c r="F263" s="28">
        <f>IF(D263="","",SUM($D$5:D263))</f>
        <v/>
      </c>
    </row>
    <row r="264">
      <c r="A264" s="38" t="n"/>
      <c r="B264" s="26" t="n"/>
      <c r="C264" s="26" t="n"/>
      <c r="D264" s="24" t="n"/>
      <c r="E264" s="26" t="n"/>
      <c r="F264" s="28">
        <f>IF(D264="","",SUM($D$5:D264))</f>
        <v/>
      </c>
    </row>
    <row r="265">
      <c r="A265" s="38" t="n"/>
      <c r="B265" s="26" t="n"/>
      <c r="C265" s="26" t="n"/>
      <c r="D265" s="24" t="n"/>
      <c r="E265" s="26" t="n"/>
      <c r="F265" s="28">
        <f>IF(D265="","",SUM($D$5:D265))</f>
        <v/>
      </c>
    </row>
    <row r="266">
      <c r="A266" s="38" t="n"/>
      <c r="B266" s="26" t="n"/>
      <c r="C266" s="26" t="n"/>
      <c r="D266" s="24" t="n"/>
      <c r="E266" s="26" t="n"/>
      <c r="F266" s="28">
        <f>IF(D266="","",SUM($D$5:D266))</f>
        <v/>
      </c>
    </row>
    <row r="267">
      <c r="A267" s="38" t="n"/>
      <c r="B267" s="26" t="n"/>
      <c r="C267" s="26" t="n"/>
      <c r="D267" s="24" t="n"/>
      <c r="E267" s="26" t="n"/>
      <c r="F267" s="28">
        <f>IF(D267="","",SUM($D$5:D267))</f>
        <v/>
      </c>
    </row>
    <row r="268">
      <c r="A268" s="38" t="n"/>
      <c r="B268" s="26" t="n"/>
      <c r="C268" s="26" t="n"/>
      <c r="D268" s="24" t="n"/>
      <c r="E268" s="26" t="n"/>
      <c r="F268" s="28">
        <f>IF(D268="","",SUM($D$5:D268))</f>
        <v/>
      </c>
    </row>
    <row r="269">
      <c r="A269" s="38" t="n"/>
      <c r="B269" s="26" t="n"/>
      <c r="C269" s="26" t="n"/>
      <c r="D269" s="24" t="n"/>
      <c r="E269" s="26" t="n"/>
      <c r="F269" s="28">
        <f>IF(D269="","",SUM($D$5:D269))</f>
        <v/>
      </c>
    </row>
    <row r="270">
      <c r="A270" s="38" t="n"/>
      <c r="B270" s="26" t="n"/>
      <c r="C270" s="26" t="n"/>
      <c r="D270" s="24" t="n"/>
      <c r="E270" s="26" t="n"/>
      <c r="F270" s="28">
        <f>IF(D270="","",SUM($D$5:D270))</f>
        <v/>
      </c>
    </row>
    <row r="271">
      <c r="A271" s="38" t="n"/>
      <c r="B271" s="26" t="n"/>
      <c r="C271" s="26" t="n"/>
      <c r="D271" s="24" t="n"/>
      <c r="E271" s="26" t="n"/>
      <c r="F271" s="28">
        <f>IF(D271="","",SUM($D$5:D271))</f>
        <v/>
      </c>
    </row>
    <row r="272">
      <c r="A272" s="38" t="n"/>
      <c r="B272" s="26" t="n"/>
      <c r="C272" s="26" t="n"/>
      <c r="D272" s="24" t="n"/>
      <c r="E272" s="26" t="n"/>
      <c r="F272" s="28">
        <f>IF(D272="","",SUM($D$5:D272))</f>
        <v/>
      </c>
    </row>
    <row r="273">
      <c r="A273" s="38" t="n"/>
      <c r="B273" s="26" t="n"/>
      <c r="C273" s="26" t="n"/>
      <c r="D273" s="24" t="n"/>
      <c r="E273" s="26" t="n"/>
      <c r="F273" s="28">
        <f>IF(D273="","",SUM($D$5:D273))</f>
        <v/>
      </c>
    </row>
    <row r="274">
      <c r="A274" s="38" t="n"/>
      <c r="B274" s="26" t="n"/>
      <c r="C274" s="26" t="n"/>
      <c r="D274" s="24" t="n"/>
      <c r="E274" s="26" t="n"/>
      <c r="F274" s="28">
        <f>IF(D274="","",SUM($D$5:D274))</f>
        <v/>
      </c>
    </row>
    <row r="275">
      <c r="A275" s="38" t="n"/>
      <c r="B275" s="26" t="n"/>
      <c r="C275" s="26" t="n"/>
      <c r="D275" s="24" t="n"/>
      <c r="E275" s="26" t="n"/>
      <c r="F275" s="28">
        <f>IF(D275="","",SUM($D$5:D275))</f>
        <v/>
      </c>
    </row>
    <row r="276">
      <c r="A276" s="38" t="n"/>
      <c r="B276" s="26" t="n"/>
      <c r="C276" s="26" t="n"/>
      <c r="D276" s="24" t="n"/>
      <c r="E276" s="26" t="n"/>
      <c r="F276" s="28">
        <f>IF(D276="","",SUM($D$5:D276))</f>
        <v/>
      </c>
    </row>
    <row r="277">
      <c r="A277" s="38" t="n"/>
      <c r="B277" s="26" t="n"/>
      <c r="C277" s="26" t="n"/>
      <c r="D277" s="24" t="n"/>
      <c r="E277" s="26" t="n"/>
      <c r="F277" s="28">
        <f>IF(D277="","",SUM($D$5:D277))</f>
        <v/>
      </c>
    </row>
    <row r="278">
      <c r="A278" s="38" t="n"/>
      <c r="B278" s="26" t="n"/>
      <c r="C278" s="26" t="n"/>
      <c r="D278" s="24" t="n"/>
      <c r="E278" s="26" t="n"/>
      <c r="F278" s="28">
        <f>IF(D278="","",SUM($D$5:D278))</f>
        <v/>
      </c>
    </row>
    <row r="279">
      <c r="A279" s="38" t="n"/>
      <c r="B279" s="26" t="n"/>
      <c r="C279" s="26" t="n"/>
      <c r="D279" s="24" t="n"/>
      <c r="E279" s="26" t="n"/>
      <c r="F279" s="28">
        <f>IF(D279="","",SUM($D$5:D279))</f>
        <v/>
      </c>
    </row>
    <row r="280">
      <c r="A280" s="38" t="n"/>
      <c r="B280" s="26" t="n"/>
      <c r="C280" s="26" t="n"/>
      <c r="D280" s="24" t="n"/>
      <c r="E280" s="26" t="n"/>
      <c r="F280" s="28">
        <f>IF(D280="","",SUM($D$5:D280))</f>
        <v/>
      </c>
    </row>
    <row r="281">
      <c r="A281" s="38" t="n"/>
      <c r="B281" s="26" t="n"/>
      <c r="C281" s="26" t="n"/>
      <c r="D281" s="24" t="n"/>
      <c r="E281" s="26" t="n"/>
      <c r="F281" s="28">
        <f>IF(D281="","",SUM($D$5:D281))</f>
        <v/>
      </c>
    </row>
    <row r="282">
      <c r="A282" s="38" t="n"/>
      <c r="B282" s="26" t="n"/>
      <c r="C282" s="26" t="n"/>
      <c r="D282" s="24" t="n"/>
      <c r="E282" s="26" t="n"/>
      <c r="F282" s="28">
        <f>IF(D282="","",SUM($D$5:D282))</f>
        <v/>
      </c>
    </row>
    <row r="283">
      <c r="A283" s="38" t="n"/>
      <c r="B283" s="26" t="n"/>
      <c r="C283" s="26" t="n"/>
      <c r="D283" s="24" t="n"/>
      <c r="E283" s="26" t="n"/>
      <c r="F283" s="28">
        <f>IF(D283="","",SUM($D$5:D283))</f>
        <v/>
      </c>
    </row>
    <row r="284">
      <c r="A284" s="38" t="n"/>
      <c r="B284" s="26" t="n"/>
      <c r="C284" s="26" t="n"/>
      <c r="D284" s="24" t="n"/>
      <c r="E284" s="26" t="n"/>
      <c r="F284" s="28">
        <f>IF(D284="","",SUM($D$5:D284))</f>
        <v/>
      </c>
    </row>
    <row r="285">
      <c r="A285" s="38" t="n"/>
      <c r="B285" s="26" t="n"/>
      <c r="C285" s="26" t="n"/>
      <c r="D285" s="24" t="n"/>
      <c r="E285" s="26" t="n"/>
      <c r="F285" s="28">
        <f>IF(D285="","",SUM($D$5:D285))</f>
        <v/>
      </c>
    </row>
    <row r="286">
      <c r="A286" s="38" t="n"/>
      <c r="B286" s="26" t="n"/>
      <c r="C286" s="26" t="n"/>
      <c r="D286" s="24" t="n"/>
      <c r="E286" s="26" t="n"/>
      <c r="F286" s="28">
        <f>IF(D286="","",SUM($D$5:D286))</f>
        <v/>
      </c>
    </row>
    <row r="287">
      <c r="A287" s="38" t="n"/>
      <c r="B287" s="26" t="n"/>
      <c r="C287" s="26" t="n"/>
      <c r="D287" s="24" t="n"/>
      <c r="E287" s="26" t="n"/>
      <c r="F287" s="28">
        <f>IF(D287="","",SUM($D$5:D287))</f>
        <v/>
      </c>
    </row>
    <row r="288">
      <c r="A288" s="38" t="n"/>
      <c r="B288" s="26" t="n"/>
      <c r="C288" s="26" t="n"/>
      <c r="D288" s="24" t="n"/>
      <c r="E288" s="26" t="n"/>
      <c r="F288" s="28">
        <f>IF(D288="","",SUM($D$5:D288))</f>
        <v/>
      </c>
    </row>
    <row r="289">
      <c r="A289" s="38" t="n"/>
      <c r="B289" s="26" t="n"/>
      <c r="C289" s="26" t="n"/>
      <c r="D289" s="24" t="n"/>
      <c r="E289" s="26" t="n"/>
      <c r="F289" s="28">
        <f>IF(D289="","",SUM($D$5:D289))</f>
        <v/>
      </c>
    </row>
    <row r="290">
      <c r="A290" s="38" t="n"/>
      <c r="B290" s="26" t="n"/>
      <c r="C290" s="26" t="n"/>
      <c r="D290" s="24" t="n"/>
      <c r="E290" s="26" t="n"/>
      <c r="F290" s="28">
        <f>IF(D290="","",SUM($D$5:D290))</f>
        <v/>
      </c>
    </row>
    <row r="291">
      <c r="A291" s="38" t="n"/>
      <c r="B291" s="26" t="n"/>
      <c r="C291" s="26" t="n"/>
      <c r="D291" s="24" t="n"/>
      <c r="E291" s="26" t="n"/>
      <c r="F291" s="28">
        <f>IF(D291="","",SUM($D$5:D291))</f>
        <v/>
      </c>
    </row>
    <row r="292">
      <c r="A292" s="38" t="n"/>
      <c r="B292" s="26" t="n"/>
      <c r="C292" s="26" t="n"/>
      <c r="D292" s="24" t="n"/>
      <c r="E292" s="26" t="n"/>
      <c r="F292" s="28">
        <f>IF(D292="","",SUM($D$5:D292))</f>
        <v/>
      </c>
    </row>
    <row r="293">
      <c r="A293" s="38" t="n"/>
      <c r="B293" s="26" t="n"/>
      <c r="C293" s="26" t="n"/>
      <c r="D293" s="24" t="n"/>
      <c r="E293" s="26" t="n"/>
      <c r="F293" s="28">
        <f>IF(D293="","",SUM($D$5:D293))</f>
        <v/>
      </c>
    </row>
    <row r="294">
      <c r="A294" s="38" t="n"/>
      <c r="B294" s="26" t="n"/>
      <c r="C294" s="26" t="n"/>
      <c r="D294" s="24" t="n"/>
      <c r="E294" s="26" t="n"/>
      <c r="F294" s="28">
        <f>IF(D294="","",SUM($D$5:D294))</f>
        <v/>
      </c>
    </row>
    <row r="295">
      <c r="A295" s="38" t="n"/>
      <c r="B295" s="26" t="n"/>
      <c r="C295" s="26" t="n"/>
      <c r="D295" s="24" t="n"/>
      <c r="E295" s="26" t="n"/>
      <c r="F295" s="28">
        <f>IF(D295="","",SUM($D$5:D295))</f>
        <v/>
      </c>
    </row>
    <row r="296">
      <c r="A296" s="38" t="n"/>
      <c r="B296" s="26" t="n"/>
      <c r="C296" s="26" t="n"/>
      <c r="D296" s="24" t="n"/>
      <c r="E296" s="26" t="n"/>
      <c r="F296" s="28">
        <f>IF(D296="","",SUM($D$5:D296))</f>
        <v/>
      </c>
    </row>
    <row r="297">
      <c r="A297" s="38" t="n"/>
      <c r="B297" s="26" t="n"/>
      <c r="C297" s="26" t="n"/>
      <c r="D297" s="24" t="n"/>
      <c r="E297" s="26" t="n"/>
      <c r="F297" s="28">
        <f>IF(D297="","",SUM($D$5:D297))</f>
        <v/>
      </c>
    </row>
    <row r="298">
      <c r="A298" s="38" t="n"/>
      <c r="B298" s="26" t="n"/>
      <c r="C298" s="26" t="n"/>
      <c r="D298" s="24" t="n"/>
      <c r="E298" s="26" t="n"/>
      <c r="F298" s="28">
        <f>IF(D298="","",SUM($D$5:D298))</f>
        <v/>
      </c>
    </row>
    <row r="299">
      <c r="A299" s="38" t="n"/>
      <c r="B299" s="26" t="n"/>
      <c r="C299" s="26" t="n"/>
      <c r="D299" s="24" t="n"/>
      <c r="E299" s="26" t="n"/>
      <c r="F299" s="28">
        <f>IF(D299="","",SUM($D$5:D299))</f>
        <v/>
      </c>
    </row>
    <row r="300">
      <c r="A300" s="38" t="n"/>
      <c r="B300" s="26" t="n"/>
      <c r="C300" s="26" t="n"/>
      <c r="D300" s="24" t="n"/>
      <c r="E300" s="26" t="n"/>
      <c r="F300" s="28">
        <f>IF(D300="","",SUM($D$5:D300))</f>
        <v/>
      </c>
    </row>
    <row r="301">
      <c r="A301" s="38" t="n"/>
      <c r="B301" s="26" t="n"/>
      <c r="C301" s="26" t="n"/>
      <c r="D301" s="24" t="n"/>
      <c r="E301" s="26" t="n"/>
      <c r="F301" s="28">
        <f>IF(D301="","",SUM($D$5:D301))</f>
        <v/>
      </c>
    </row>
    <row r="302">
      <c r="A302" s="38" t="n"/>
      <c r="B302" s="26" t="n"/>
      <c r="C302" s="26" t="n"/>
      <c r="D302" s="24" t="n"/>
      <c r="E302" s="26" t="n"/>
      <c r="F302" s="28">
        <f>IF(D302="","",SUM($D$5:D302))</f>
        <v/>
      </c>
    </row>
    <row r="303">
      <c r="A303" s="38" t="n"/>
      <c r="B303" s="26" t="n"/>
      <c r="C303" s="26" t="n"/>
      <c r="D303" s="24" t="n"/>
      <c r="E303" s="26" t="n"/>
      <c r="F303" s="28">
        <f>IF(D303="","",SUM($D$5:D303))</f>
        <v/>
      </c>
    </row>
    <row r="304">
      <c r="A304" s="38" t="n"/>
      <c r="B304" s="26" t="n"/>
      <c r="C304" s="26" t="n"/>
      <c r="D304" s="24" t="n"/>
      <c r="E304" s="26" t="n"/>
      <c r="F304" s="28">
        <f>IF(D304="","",SUM($D$5:D304))</f>
        <v/>
      </c>
    </row>
    <row r="305">
      <c r="A305" s="38" t="n"/>
      <c r="B305" s="26" t="n"/>
      <c r="C305" s="26" t="n"/>
      <c r="D305" s="24" t="n"/>
      <c r="E305" s="26" t="n"/>
      <c r="F305" s="28">
        <f>IF(D305="","",SUM($D$5:D305))</f>
        <v/>
      </c>
    </row>
    <row r="306">
      <c r="A306" s="38" t="n"/>
      <c r="B306" s="26" t="n"/>
      <c r="C306" s="26" t="n"/>
      <c r="D306" s="24" t="n"/>
      <c r="E306" s="26" t="n"/>
      <c r="F306" s="28">
        <f>IF(D306="","",SUM($D$5:D306))</f>
        <v/>
      </c>
    </row>
    <row r="307">
      <c r="A307" s="38" t="n"/>
      <c r="B307" s="26" t="n"/>
      <c r="C307" s="26" t="n"/>
      <c r="D307" s="24" t="n"/>
      <c r="E307" s="26" t="n"/>
      <c r="F307" s="28">
        <f>IF(D307="","",SUM($D$5:D307))</f>
        <v/>
      </c>
    </row>
    <row r="308">
      <c r="A308" s="38" t="n"/>
      <c r="B308" s="26" t="n"/>
      <c r="C308" s="26" t="n"/>
      <c r="D308" s="24" t="n"/>
      <c r="E308" s="26" t="n"/>
      <c r="F308" s="28">
        <f>IF(D308="","",SUM($D$5:D308))</f>
        <v/>
      </c>
    </row>
    <row r="309">
      <c r="A309" s="38" t="n"/>
      <c r="B309" s="26" t="n"/>
      <c r="C309" s="26" t="n"/>
      <c r="D309" s="24" t="n"/>
      <c r="E309" s="26" t="n"/>
      <c r="F309" s="28">
        <f>IF(D309="","",SUM($D$5:D309))</f>
        <v/>
      </c>
    </row>
    <row r="310">
      <c r="A310" s="38" t="n"/>
      <c r="B310" s="26" t="n"/>
      <c r="C310" s="26" t="n"/>
      <c r="D310" s="24" t="n"/>
      <c r="E310" s="26" t="n"/>
      <c r="F310" s="28">
        <f>IF(D310="","",SUM($D$5:D310))</f>
        <v/>
      </c>
    </row>
    <row r="311">
      <c r="A311" s="38" t="n"/>
      <c r="B311" s="26" t="n"/>
      <c r="C311" s="26" t="n"/>
      <c r="D311" s="24" t="n"/>
      <c r="E311" s="26" t="n"/>
      <c r="F311" s="28">
        <f>IF(D311="","",SUM($D$5:D311))</f>
        <v/>
      </c>
    </row>
    <row r="312">
      <c r="A312" s="38" t="n"/>
      <c r="B312" s="26" t="n"/>
      <c r="C312" s="26" t="n"/>
      <c r="D312" s="24" t="n"/>
      <c r="E312" s="26" t="n"/>
      <c r="F312" s="28">
        <f>IF(D312="","",SUM($D$5:D312))</f>
        <v/>
      </c>
    </row>
    <row r="313">
      <c r="A313" s="38" t="n"/>
      <c r="B313" s="26" t="n"/>
      <c r="C313" s="26" t="n"/>
      <c r="D313" s="24" t="n"/>
      <c r="E313" s="26" t="n"/>
      <c r="F313" s="28">
        <f>IF(D313="","",SUM($D$5:D313))</f>
        <v/>
      </c>
    </row>
    <row r="314">
      <c r="A314" s="38" t="n"/>
      <c r="B314" s="26" t="n"/>
      <c r="C314" s="26" t="n"/>
      <c r="D314" s="24" t="n"/>
      <c r="E314" s="26" t="n"/>
      <c r="F314" s="28">
        <f>IF(D314="","",SUM($D$5:D314))</f>
        <v/>
      </c>
    </row>
    <row r="315">
      <c r="A315" s="38" t="n"/>
      <c r="B315" s="26" t="n"/>
      <c r="C315" s="26" t="n"/>
      <c r="D315" s="24" t="n"/>
      <c r="E315" s="26" t="n"/>
      <c r="F315" s="28">
        <f>IF(D315="","",SUM($D$5:D315))</f>
        <v/>
      </c>
    </row>
    <row r="316">
      <c r="A316" s="38" t="n"/>
      <c r="B316" s="26" t="n"/>
      <c r="C316" s="26" t="n"/>
      <c r="D316" s="24" t="n"/>
      <c r="E316" s="26" t="n"/>
      <c r="F316" s="28">
        <f>IF(D316="","",SUM($D$5:D316))</f>
        <v/>
      </c>
    </row>
    <row r="317">
      <c r="A317" s="38" t="n"/>
      <c r="B317" s="26" t="n"/>
      <c r="C317" s="26" t="n"/>
      <c r="D317" s="24" t="n"/>
      <c r="E317" s="26" t="n"/>
      <c r="F317" s="28">
        <f>IF(D317="","",SUM($D$5:D317))</f>
        <v/>
      </c>
    </row>
    <row r="318">
      <c r="A318" s="38" t="n"/>
      <c r="B318" s="26" t="n"/>
      <c r="C318" s="26" t="n"/>
      <c r="D318" s="24" t="n"/>
      <c r="E318" s="26" t="n"/>
      <c r="F318" s="28">
        <f>IF(D318="","",SUM($D$5:D318))</f>
        <v/>
      </c>
    </row>
    <row r="319">
      <c r="A319" s="38" t="n"/>
      <c r="B319" s="26" t="n"/>
      <c r="C319" s="26" t="n"/>
      <c r="D319" s="24" t="n"/>
      <c r="E319" s="26" t="n"/>
      <c r="F319" s="28">
        <f>IF(D319="","",SUM($D$5:D319))</f>
        <v/>
      </c>
    </row>
    <row r="320">
      <c r="A320" s="38" t="n"/>
      <c r="B320" s="26" t="n"/>
      <c r="C320" s="26" t="n"/>
      <c r="D320" s="24" t="n"/>
      <c r="E320" s="26" t="n"/>
      <c r="F320" s="28">
        <f>IF(D320="","",SUM($D$5:D320))</f>
        <v/>
      </c>
    </row>
    <row r="321">
      <c r="A321" s="38" t="n"/>
      <c r="B321" s="26" t="n"/>
      <c r="C321" s="26" t="n"/>
      <c r="D321" s="24" t="n"/>
      <c r="E321" s="26" t="n"/>
      <c r="F321" s="28">
        <f>IF(D321="","",SUM($D$5:D321))</f>
        <v/>
      </c>
    </row>
    <row r="322">
      <c r="A322" s="38" t="n"/>
      <c r="B322" s="26" t="n"/>
      <c r="C322" s="26" t="n"/>
      <c r="D322" s="24" t="n"/>
      <c r="E322" s="26" t="n"/>
      <c r="F322" s="28">
        <f>IF(D322="","",SUM($D$5:D322))</f>
        <v/>
      </c>
    </row>
    <row r="323">
      <c r="A323" s="38" t="n"/>
      <c r="B323" s="26" t="n"/>
      <c r="C323" s="26" t="n"/>
      <c r="D323" s="24" t="n"/>
      <c r="E323" s="26" t="n"/>
      <c r="F323" s="28">
        <f>IF(D323="","",SUM($D$5:D323))</f>
        <v/>
      </c>
    </row>
    <row r="324">
      <c r="A324" s="38" t="n"/>
      <c r="B324" s="26" t="n"/>
      <c r="C324" s="26" t="n"/>
      <c r="D324" s="24" t="n"/>
      <c r="E324" s="26" t="n"/>
      <c r="F324" s="28">
        <f>IF(D324="","",SUM($D$5:D324))</f>
        <v/>
      </c>
    </row>
    <row r="325">
      <c r="A325" s="38" t="n"/>
      <c r="B325" s="26" t="n"/>
      <c r="C325" s="26" t="n"/>
      <c r="D325" s="24" t="n"/>
      <c r="E325" s="26" t="n"/>
      <c r="F325" s="28">
        <f>IF(D325="","",SUM($D$5:D325))</f>
        <v/>
      </c>
    </row>
    <row r="326">
      <c r="A326" s="38" t="n"/>
      <c r="B326" s="26" t="n"/>
      <c r="C326" s="26" t="n"/>
      <c r="D326" s="24" t="n"/>
      <c r="E326" s="26" t="n"/>
      <c r="F326" s="28">
        <f>IF(D326="","",SUM($D$5:D326))</f>
        <v/>
      </c>
    </row>
    <row r="327">
      <c r="A327" s="38" t="n"/>
      <c r="B327" s="26" t="n"/>
      <c r="C327" s="26" t="n"/>
      <c r="D327" s="24" t="n"/>
      <c r="E327" s="26" t="n"/>
      <c r="F327" s="28">
        <f>IF(D327="","",SUM($D$5:D327))</f>
        <v/>
      </c>
    </row>
    <row r="328">
      <c r="A328" s="38" t="n"/>
      <c r="B328" s="26" t="n"/>
      <c r="C328" s="26" t="n"/>
      <c r="D328" s="24" t="n"/>
      <c r="E328" s="26" t="n"/>
      <c r="F328" s="28">
        <f>IF(D328="","",SUM($D$5:D328))</f>
        <v/>
      </c>
    </row>
    <row r="329">
      <c r="A329" s="38" t="n"/>
      <c r="B329" s="26" t="n"/>
      <c r="C329" s="26" t="n"/>
      <c r="D329" s="24" t="n"/>
      <c r="E329" s="26" t="n"/>
      <c r="F329" s="28">
        <f>IF(D329="","",SUM($D$5:D329))</f>
        <v/>
      </c>
    </row>
    <row r="330">
      <c r="A330" s="38" t="n"/>
      <c r="B330" s="26" t="n"/>
      <c r="C330" s="26" t="n"/>
      <c r="D330" s="24" t="n"/>
      <c r="E330" s="26" t="n"/>
      <c r="F330" s="28">
        <f>IF(D330="","",SUM($D$5:D330))</f>
        <v/>
      </c>
    </row>
    <row r="331">
      <c r="A331" s="38" t="n"/>
      <c r="B331" s="26" t="n"/>
      <c r="C331" s="26" t="n"/>
      <c r="D331" s="24" t="n"/>
      <c r="E331" s="26" t="n"/>
      <c r="F331" s="28">
        <f>IF(D331="","",SUM($D$5:D331))</f>
        <v/>
      </c>
    </row>
    <row r="332">
      <c r="A332" s="38" t="n"/>
      <c r="B332" s="26" t="n"/>
      <c r="C332" s="26" t="n"/>
      <c r="D332" s="24" t="n"/>
      <c r="E332" s="26" t="n"/>
      <c r="F332" s="28">
        <f>IF(D332="","",SUM($D$5:D332))</f>
        <v/>
      </c>
    </row>
    <row r="333">
      <c r="A333" s="38" t="n"/>
      <c r="B333" s="26" t="n"/>
      <c r="C333" s="26" t="n"/>
      <c r="D333" s="24" t="n"/>
      <c r="E333" s="26" t="n"/>
      <c r="F333" s="28">
        <f>IF(D333="","",SUM($D$5:D333))</f>
        <v/>
      </c>
    </row>
    <row r="334">
      <c r="A334" s="38" t="n"/>
      <c r="B334" s="26" t="n"/>
      <c r="C334" s="26" t="n"/>
      <c r="D334" s="24" t="n"/>
      <c r="E334" s="26" t="n"/>
      <c r="F334" s="28">
        <f>IF(D334="","",SUM($D$5:D334))</f>
        <v/>
      </c>
    </row>
    <row r="335">
      <c r="A335" s="38" t="n"/>
      <c r="B335" s="26" t="n"/>
      <c r="C335" s="26" t="n"/>
      <c r="D335" s="24" t="n"/>
      <c r="E335" s="26" t="n"/>
      <c r="F335" s="28">
        <f>IF(D335="","",SUM($D$5:D335))</f>
        <v/>
      </c>
    </row>
    <row r="336">
      <c r="A336" s="38" t="n"/>
      <c r="B336" s="26" t="n"/>
      <c r="C336" s="26" t="n"/>
      <c r="D336" s="24" t="n"/>
      <c r="E336" s="26" t="n"/>
      <c r="F336" s="28">
        <f>IF(D336="","",SUM($D$5:D336))</f>
        <v/>
      </c>
    </row>
    <row r="337">
      <c r="A337" s="38" t="n"/>
      <c r="B337" s="26" t="n"/>
      <c r="C337" s="26" t="n"/>
      <c r="D337" s="24" t="n"/>
      <c r="E337" s="26" t="n"/>
      <c r="F337" s="28">
        <f>IF(D337="","",SUM($D$5:D337))</f>
        <v/>
      </c>
    </row>
    <row r="338">
      <c r="A338" s="38" t="n"/>
      <c r="B338" s="26" t="n"/>
      <c r="C338" s="26" t="n"/>
      <c r="D338" s="24" t="n"/>
      <c r="E338" s="26" t="n"/>
      <c r="F338" s="28">
        <f>IF(D338="","",SUM($D$5:D338))</f>
        <v/>
      </c>
    </row>
    <row r="339">
      <c r="A339" s="38" t="n"/>
      <c r="B339" s="26" t="n"/>
      <c r="C339" s="26" t="n"/>
      <c r="D339" s="24" t="n"/>
      <c r="E339" s="26" t="n"/>
      <c r="F339" s="28">
        <f>IF(D339="","",SUM($D$5:D339))</f>
        <v/>
      </c>
    </row>
    <row r="340">
      <c r="A340" s="38" t="n"/>
      <c r="B340" s="26" t="n"/>
      <c r="C340" s="26" t="n"/>
      <c r="D340" s="24" t="n"/>
      <c r="E340" s="26" t="n"/>
      <c r="F340" s="28">
        <f>IF(D340="","",SUM($D$5:D340))</f>
        <v/>
      </c>
    </row>
    <row r="341">
      <c r="A341" s="38" t="n"/>
      <c r="B341" s="26" t="n"/>
      <c r="C341" s="26" t="n"/>
      <c r="D341" s="24" t="n"/>
      <c r="E341" s="26" t="n"/>
      <c r="F341" s="28">
        <f>IF(D341="","",SUM($D$5:D341))</f>
        <v/>
      </c>
    </row>
    <row r="342">
      <c r="A342" s="38" t="n"/>
      <c r="B342" s="26" t="n"/>
      <c r="C342" s="26" t="n"/>
      <c r="D342" s="24" t="n"/>
      <c r="E342" s="26" t="n"/>
      <c r="F342" s="28">
        <f>IF(D342="","",SUM($D$5:D342))</f>
        <v/>
      </c>
    </row>
    <row r="343">
      <c r="A343" s="38" t="n"/>
      <c r="B343" s="26" t="n"/>
      <c r="C343" s="26" t="n"/>
      <c r="D343" s="24" t="n"/>
      <c r="E343" s="26" t="n"/>
      <c r="F343" s="28">
        <f>IF(D343="","",SUM($D$5:D343))</f>
        <v/>
      </c>
    </row>
    <row r="344">
      <c r="A344" s="38" t="n"/>
      <c r="B344" s="26" t="n"/>
      <c r="C344" s="26" t="n"/>
      <c r="D344" s="24" t="n"/>
      <c r="E344" s="26" t="n"/>
      <c r="F344" s="28">
        <f>IF(D344="","",SUM($D$5:D344))</f>
        <v/>
      </c>
    </row>
    <row r="345">
      <c r="A345" s="38" t="n"/>
      <c r="B345" s="26" t="n"/>
      <c r="C345" s="26" t="n"/>
      <c r="D345" s="24" t="n"/>
      <c r="E345" s="26" t="n"/>
      <c r="F345" s="28">
        <f>IF(D345="","",SUM($D$5:D345))</f>
        <v/>
      </c>
    </row>
    <row r="346">
      <c r="A346" s="38" t="n"/>
      <c r="B346" s="26" t="n"/>
      <c r="C346" s="26" t="n"/>
      <c r="D346" s="24" t="n"/>
      <c r="E346" s="26" t="n"/>
      <c r="F346" s="28">
        <f>IF(D346="","",SUM($D$5:D346))</f>
        <v/>
      </c>
    </row>
    <row r="347">
      <c r="A347" s="38" t="n"/>
      <c r="B347" s="26" t="n"/>
      <c r="C347" s="26" t="n"/>
      <c r="D347" s="24" t="n"/>
      <c r="E347" s="26" t="n"/>
      <c r="F347" s="28">
        <f>IF(D347="","",SUM($D$5:D347))</f>
        <v/>
      </c>
    </row>
    <row r="348">
      <c r="A348" s="38" t="n"/>
      <c r="B348" s="26" t="n"/>
      <c r="C348" s="26" t="n"/>
      <c r="D348" s="24" t="n"/>
      <c r="E348" s="26" t="n"/>
      <c r="F348" s="28">
        <f>IF(D348="","",SUM($D$5:D348))</f>
        <v/>
      </c>
    </row>
    <row r="349">
      <c r="A349" s="38" t="n"/>
      <c r="B349" s="26" t="n"/>
      <c r="C349" s="26" t="n"/>
      <c r="D349" s="24" t="n"/>
      <c r="E349" s="26" t="n"/>
      <c r="F349" s="28">
        <f>IF(D349="","",SUM($D$5:D349))</f>
        <v/>
      </c>
    </row>
    <row r="350">
      <c r="A350" s="38" t="n"/>
      <c r="B350" s="26" t="n"/>
      <c r="C350" s="26" t="n"/>
      <c r="D350" s="24" t="n"/>
      <c r="E350" s="26" t="n"/>
      <c r="F350" s="28">
        <f>IF(D350="","",SUM($D$5:D350))</f>
        <v/>
      </c>
    </row>
    <row r="351">
      <c r="A351" s="38" t="n"/>
      <c r="B351" s="26" t="n"/>
      <c r="C351" s="26" t="n"/>
      <c r="D351" s="24" t="n"/>
      <c r="E351" s="26" t="n"/>
      <c r="F351" s="28">
        <f>IF(D351="","",SUM($D$5:D351))</f>
        <v/>
      </c>
    </row>
    <row r="352">
      <c r="A352" s="38" t="n"/>
      <c r="B352" s="26" t="n"/>
      <c r="C352" s="26" t="n"/>
      <c r="D352" s="24" t="n"/>
      <c r="E352" s="26" t="n"/>
      <c r="F352" s="28">
        <f>IF(D352="","",SUM($D$5:D352))</f>
        <v/>
      </c>
    </row>
    <row r="353">
      <c r="A353" s="38" t="n"/>
      <c r="B353" s="26" t="n"/>
      <c r="C353" s="26" t="n"/>
      <c r="D353" s="24" t="n"/>
      <c r="E353" s="26" t="n"/>
      <c r="F353" s="28">
        <f>IF(D353="","",SUM($D$5:D353))</f>
        <v/>
      </c>
    </row>
    <row r="354">
      <c r="A354" s="38" t="n"/>
      <c r="B354" s="26" t="n"/>
      <c r="C354" s="26" t="n"/>
      <c r="D354" s="24" t="n"/>
      <c r="E354" s="26" t="n"/>
      <c r="F354" s="28">
        <f>IF(D354="","",SUM($D$5:D354))</f>
        <v/>
      </c>
    </row>
    <row r="355">
      <c r="A355" s="38" t="n"/>
      <c r="B355" s="26" t="n"/>
      <c r="C355" s="26" t="n"/>
      <c r="D355" s="24" t="n"/>
      <c r="E355" s="26" t="n"/>
      <c r="F355" s="28">
        <f>IF(D355="","",SUM($D$5:D355))</f>
        <v/>
      </c>
    </row>
    <row r="356">
      <c r="A356" s="38" t="n"/>
      <c r="B356" s="26" t="n"/>
      <c r="C356" s="26" t="n"/>
      <c r="D356" s="24" t="n"/>
      <c r="E356" s="26" t="n"/>
      <c r="F356" s="28">
        <f>IF(D356="","",SUM($D$5:D356))</f>
        <v/>
      </c>
    </row>
    <row r="357">
      <c r="A357" s="38" t="n"/>
      <c r="B357" s="26" t="n"/>
      <c r="C357" s="26" t="n"/>
      <c r="D357" s="24" t="n"/>
      <c r="E357" s="26" t="n"/>
      <c r="F357" s="28">
        <f>IF(D357="","",SUM($D$5:D357))</f>
        <v/>
      </c>
    </row>
    <row r="358">
      <c r="A358" s="38" t="n"/>
      <c r="B358" s="26" t="n"/>
      <c r="C358" s="26" t="n"/>
      <c r="D358" s="24" t="n"/>
      <c r="E358" s="26" t="n"/>
      <c r="F358" s="28">
        <f>IF(D358="","",SUM($D$5:D358))</f>
        <v/>
      </c>
    </row>
    <row r="359">
      <c r="A359" s="38" t="n"/>
      <c r="B359" s="26" t="n"/>
      <c r="C359" s="26" t="n"/>
      <c r="D359" s="24" t="n"/>
      <c r="E359" s="26" t="n"/>
      <c r="F359" s="28">
        <f>IF(D359="","",SUM($D$5:D359))</f>
        <v/>
      </c>
    </row>
    <row r="360">
      <c r="A360" s="38" t="n"/>
      <c r="B360" s="26" t="n"/>
      <c r="C360" s="26" t="n"/>
      <c r="D360" s="24" t="n"/>
      <c r="E360" s="26" t="n"/>
      <c r="F360" s="28">
        <f>IF(D360="","",SUM($D$5:D360))</f>
        <v/>
      </c>
    </row>
    <row r="361">
      <c r="A361" s="38" t="n"/>
      <c r="B361" s="26" t="n"/>
      <c r="C361" s="26" t="n"/>
      <c r="D361" s="24" t="n"/>
      <c r="E361" s="26" t="n"/>
      <c r="F361" s="28">
        <f>IF(D361="","",SUM($D$5:D361))</f>
        <v/>
      </c>
    </row>
    <row r="362">
      <c r="A362" s="38" t="n"/>
      <c r="B362" s="26" t="n"/>
      <c r="C362" s="26" t="n"/>
      <c r="D362" s="24" t="n"/>
      <c r="E362" s="26" t="n"/>
      <c r="F362" s="28">
        <f>IF(D362="","",SUM($D$5:D362))</f>
        <v/>
      </c>
    </row>
    <row r="363">
      <c r="A363" s="38" t="n"/>
      <c r="B363" s="26" t="n"/>
      <c r="C363" s="26" t="n"/>
      <c r="D363" s="24" t="n"/>
      <c r="E363" s="26" t="n"/>
      <c r="F363" s="28">
        <f>IF(D363="","",SUM($D$5:D363))</f>
        <v/>
      </c>
    </row>
    <row r="364">
      <c r="A364" s="38" t="n"/>
      <c r="B364" s="26" t="n"/>
      <c r="C364" s="26" t="n"/>
      <c r="D364" s="24" t="n"/>
      <c r="E364" s="26" t="n"/>
      <c r="F364" s="28">
        <f>IF(D364="","",SUM($D$5:D364))</f>
        <v/>
      </c>
    </row>
    <row r="365">
      <c r="A365" s="38" t="n"/>
      <c r="B365" s="26" t="n"/>
      <c r="C365" s="26" t="n"/>
      <c r="D365" s="24" t="n"/>
      <c r="E365" s="26" t="n"/>
      <c r="F365" s="28">
        <f>IF(D365="","",SUM($D$5:D365))</f>
        <v/>
      </c>
    </row>
    <row r="366">
      <c r="A366" s="38" t="n"/>
      <c r="B366" s="26" t="n"/>
      <c r="C366" s="26" t="n"/>
      <c r="D366" s="24" t="n"/>
      <c r="E366" s="26" t="n"/>
      <c r="F366" s="28">
        <f>IF(D366="","",SUM($D$5:D366))</f>
        <v/>
      </c>
    </row>
    <row r="367">
      <c r="A367" s="38" t="n"/>
      <c r="B367" s="26" t="n"/>
      <c r="C367" s="26" t="n"/>
      <c r="D367" s="24" t="n"/>
      <c r="E367" s="26" t="n"/>
      <c r="F367" s="28">
        <f>IF(D367="","",SUM($D$5:D367))</f>
        <v/>
      </c>
    </row>
    <row r="368">
      <c r="A368" s="38" t="n"/>
      <c r="B368" s="26" t="n"/>
      <c r="C368" s="26" t="n"/>
      <c r="D368" s="24" t="n"/>
      <c r="E368" s="26" t="n"/>
      <c r="F368" s="28">
        <f>IF(D368="","",SUM($D$5:D368))</f>
        <v/>
      </c>
    </row>
    <row r="369">
      <c r="A369" s="38" t="n"/>
      <c r="B369" s="26" t="n"/>
      <c r="C369" s="26" t="n"/>
      <c r="D369" s="24" t="n"/>
      <c r="E369" s="26" t="n"/>
      <c r="F369" s="28">
        <f>IF(D369="","",SUM($D$5:D369))</f>
        <v/>
      </c>
    </row>
    <row r="370">
      <c r="A370" s="38" t="n"/>
      <c r="B370" s="26" t="n"/>
      <c r="C370" s="26" t="n"/>
      <c r="D370" s="24" t="n"/>
      <c r="E370" s="26" t="n"/>
      <c r="F370" s="28">
        <f>IF(D370="","",SUM($D$5:D370))</f>
        <v/>
      </c>
    </row>
    <row r="371">
      <c r="A371" s="38" t="n"/>
      <c r="B371" s="26" t="n"/>
      <c r="C371" s="26" t="n"/>
      <c r="D371" s="24" t="n"/>
      <c r="E371" s="26" t="n"/>
      <c r="F371" s="28">
        <f>IF(D371="","",SUM($D$5:D371))</f>
        <v/>
      </c>
    </row>
    <row r="372">
      <c r="A372" s="38" t="n"/>
      <c r="B372" s="26" t="n"/>
      <c r="C372" s="26" t="n"/>
      <c r="D372" s="24" t="n"/>
      <c r="E372" s="26" t="n"/>
      <c r="F372" s="28">
        <f>IF(D372="","",SUM($D$5:D372))</f>
        <v/>
      </c>
    </row>
    <row r="373">
      <c r="A373" s="38" t="n"/>
      <c r="B373" s="26" t="n"/>
      <c r="C373" s="26" t="n"/>
      <c r="D373" s="24" t="n"/>
      <c r="E373" s="26" t="n"/>
      <c r="F373" s="28">
        <f>IF(D373="","",SUM($D$5:D373))</f>
        <v/>
      </c>
    </row>
    <row r="374">
      <c r="A374" s="38" t="n"/>
      <c r="B374" s="26" t="n"/>
      <c r="C374" s="26" t="n"/>
      <c r="D374" s="24" t="n"/>
      <c r="E374" s="26" t="n"/>
      <c r="F374" s="28">
        <f>IF(D374="","",SUM($D$5:D374))</f>
        <v/>
      </c>
    </row>
    <row r="375">
      <c r="A375" s="38" t="n"/>
      <c r="B375" s="26" t="n"/>
      <c r="C375" s="26" t="n"/>
      <c r="D375" s="24" t="n"/>
      <c r="E375" s="26" t="n"/>
      <c r="F375" s="28">
        <f>IF(D375="","",SUM($D$5:D375))</f>
        <v/>
      </c>
    </row>
    <row r="376">
      <c r="A376" s="38" t="n"/>
      <c r="B376" s="26" t="n"/>
      <c r="C376" s="26" t="n"/>
      <c r="D376" s="24" t="n"/>
      <c r="E376" s="26" t="n"/>
      <c r="F376" s="28">
        <f>IF(D376="","",SUM($D$5:D376))</f>
        <v/>
      </c>
    </row>
    <row r="377">
      <c r="A377" s="38" t="n"/>
      <c r="B377" s="26" t="n"/>
      <c r="C377" s="26" t="n"/>
      <c r="D377" s="24" t="n"/>
      <c r="E377" s="26" t="n"/>
      <c r="F377" s="28">
        <f>IF(D377="","",SUM($D$5:D377))</f>
        <v/>
      </c>
    </row>
    <row r="378">
      <c r="A378" s="38" t="n"/>
      <c r="B378" s="26" t="n"/>
      <c r="C378" s="26" t="n"/>
      <c r="D378" s="24" t="n"/>
      <c r="E378" s="26" t="n"/>
      <c r="F378" s="28">
        <f>IF(D378="","",SUM($D$5:D378))</f>
        <v/>
      </c>
    </row>
    <row r="379">
      <c r="A379" s="38" t="n"/>
      <c r="B379" s="26" t="n"/>
      <c r="C379" s="26" t="n"/>
      <c r="D379" s="24" t="n"/>
      <c r="E379" s="26" t="n"/>
      <c r="F379" s="28">
        <f>IF(D379="","",SUM($D$5:D379))</f>
        <v/>
      </c>
    </row>
    <row r="380">
      <c r="A380" s="38" t="n"/>
      <c r="B380" s="26" t="n"/>
      <c r="C380" s="26" t="n"/>
      <c r="D380" s="24" t="n"/>
      <c r="E380" s="26" t="n"/>
      <c r="F380" s="28">
        <f>IF(D380="","",SUM($D$5:D380))</f>
        <v/>
      </c>
    </row>
    <row r="381">
      <c r="A381" s="38" t="n"/>
      <c r="B381" s="26" t="n"/>
      <c r="C381" s="26" t="n"/>
      <c r="D381" s="24" t="n"/>
      <c r="E381" s="26" t="n"/>
      <c r="F381" s="28">
        <f>IF(D381="","",SUM($D$5:D381))</f>
        <v/>
      </c>
    </row>
    <row r="382">
      <c r="A382" s="38" t="n"/>
      <c r="B382" s="26" t="n"/>
      <c r="C382" s="26" t="n"/>
      <c r="D382" s="24" t="n"/>
      <c r="E382" s="26" t="n"/>
      <c r="F382" s="28">
        <f>IF(D382="","",SUM($D$5:D382))</f>
        <v/>
      </c>
    </row>
    <row r="383">
      <c r="A383" s="38" t="n"/>
      <c r="B383" s="26" t="n"/>
      <c r="C383" s="26" t="n"/>
      <c r="D383" s="24" t="n"/>
      <c r="E383" s="26" t="n"/>
      <c r="F383" s="28">
        <f>IF(D383="","",SUM($D$5:D383))</f>
        <v/>
      </c>
    </row>
    <row r="384">
      <c r="A384" s="38" t="n"/>
      <c r="B384" s="26" t="n"/>
      <c r="C384" s="26" t="n"/>
      <c r="D384" s="24" t="n"/>
      <c r="E384" s="26" t="n"/>
      <c r="F384" s="28">
        <f>IF(D384="","",SUM($D$5:D384))</f>
        <v/>
      </c>
    </row>
    <row r="385">
      <c r="A385" s="38" t="n"/>
      <c r="B385" s="26" t="n"/>
      <c r="C385" s="26" t="n"/>
      <c r="D385" s="24" t="n"/>
      <c r="E385" s="26" t="n"/>
      <c r="F385" s="28">
        <f>IF(D385="","",SUM($D$5:D385))</f>
        <v/>
      </c>
    </row>
    <row r="386">
      <c r="A386" s="38" t="n"/>
      <c r="B386" s="26" t="n"/>
      <c r="C386" s="26" t="n"/>
      <c r="D386" s="24" t="n"/>
      <c r="E386" s="26" t="n"/>
      <c r="F386" s="28">
        <f>IF(D386="","",SUM($D$5:D386))</f>
        <v/>
      </c>
    </row>
    <row r="387">
      <c r="A387" s="38" t="n"/>
      <c r="B387" s="26" t="n"/>
      <c r="C387" s="26" t="n"/>
      <c r="D387" s="24" t="n"/>
      <c r="E387" s="26" t="n"/>
      <c r="F387" s="28">
        <f>IF(D387="","",SUM($D$5:D387))</f>
        <v/>
      </c>
    </row>
    <row r="388">
      <c r="A388" s="38" t="n"/>
      <c r="B388" s="26" t="n"/>
      <c r="C388" s="26" t="n"/>
      <c r="D388" s="24" t="n"/>
      <c r="E388" s="26" t="n"/>
      <c r="F388" s="28">
        <f>IF(D388="","",SUM($D$5:D388))</f>
        <v/>
      </c>
    </row>
    <row r="389">
      <c r="A389" s="38" t="n"/>
      <c r="B389" s="26" t="n"/>
      <c r="C389" s="26" t="n"/>
      <c r="D389" s="24" t="n"/>
      <c r="E389" s="26" t="n"/>
      <c r="F389" s="28">
        <f>IF(D389="","",SUM($D$5:D389))</f>
        <v/>
      </c>
    </row>
    <row r="390">
      <c r="A390" s="38" t="n"/>
      <c r="B390" s="26" t="n"/>
      <c r="C390" s="26" t="n"/>
      <c r="D390" s="24" t="n"/>
      <c r="E390" s="26" t="n"/>
      <c r="F390" s="28">
        <f>IF(D390="","",SUM($D$5:D390))</f>
        <v/>
      </c>
    </row>
    <row r="391">
      <c r="A391" s="38" t="n"/>
      <c r="B391" s="26" t="n"/>
      <c r="C391" s="26" t="n"/>
      <c r="D391" s="24" t="n"/>
      <c r="E391" s="26" t="n"/>
      <c r="F391" s="28">
        <f>IF(D391="","",SUM($D$5:D391))</f>
        <v/>
      </c>
    </row>
    <row r="392">
      <c r="A392" s="38" t="n"/>
      <c r="B392" s="26" t="n"/>
      <c r="C392" s="26" t="n"/>
      <c r="D392" s="24" t="n"/>
      <c r="E392" s="26" t="n"/>
      <c r="F392" s="28">
        <f>IF(D392="","",SUM($D$5:D392))</f>
        <v/>
      </c>
    </row>
    <row r="393">
      <c r="A393" s="38" t="n"/>
      <c r="B393" s="26" t="n"/>
      <c r="C393" s="26" t="n"/>
      <c r="D393" s="24" t="n"/>
      <c r="E393" s="26" t="n"/>
      <c r="F393" s="28">
        <f>IF(D393="","",SUM($D$5:D393))</f>
        <v/>
      </c>
    </row>
    <row r="394">
      <c r="A394" s="38" t="n"/>
      <c r="B394" s="26" t="n"/>
      <c r="C394" s="26" t="n"/>
      <c r="D394" s="24" t="n"/>
      <c r="E394" s="26" t="n"/>
      <c r="F394" s="28">
        <f>IF(D394="","",SUM($D$5:D394))</f>
        <v/>
      </c>
    </row>
    <row r="395">
      <c r="A395" s="38" t="n"/>
      <c r="B395" s="26" t="n"/>
      <c r="C395" s="26" t="n"/>
      <c r="D395" s="24" t="n"/>
      <c r="E395" s="26" t="n"/>
      <c r="F395" s="28">
        <f>IF(D395="","",SUM($D$5:D395))</f>
        <v/>
      </c>
    </row>
    <row r="396">
      <c r="A396" s="38" t="n"/>
      <c r="B396" s="26" t="n"/>
      <c r="C396" s="26" t="n"/>
      <c r="D396" s="24" t="n"/>
      <c r="E396" s="26" t="n"/>
      <c r="F396" s="28">
        <f>IF(D396="","",SUM($D$5:D396))</f>
        <v/>
      </c>
    </row>
    <row r="397">
      <c r="A397" s="38" t="n"/>
      <c r="B397" s="26" t="n"/>
      <c r="C397" s="26" t="n"/>
      <c r="D397" s="24" t="n"/>
      <c r="E397" s="26" t="n"/>
      <c r="F397" s="28">
        <f>IF(D397="","",SUM($D$5:D397))</f>
        <v/>
      </c>
    </row>
    <row r="398">
      <c r="A398" s="38" t="n"/>
      <c r="B398" s="26" t="n"/>
      <c r="C398" s="26" t="n"/>
      <c r="D398" s="24" t="n"/>
      <c r="E398" s="26" t="n"/>
      <c r="F398" s="28">
        <f>IF(D398="","",SUM($D$5:D398))</f>
        <v/>
      </c>
    </row>
    <row r="399">
      <c r="A399" s="38" t="n"/>
      <c r="B399" s="26" t="n"/>
      <c r="C399" s="26" t="n"/>
      <c r="D399" s="24" t="n"/>
      <c r="E399" s="26" t="n"/>
      <c r="F399" s="28">
        <f>IF(D399="","",SUM($D$5:D399))</f>
        <v/>
      </c>
    </row>
    <row r="400">
      <c r="A400" s="38" t="n"/>
      <c r="B400" s="26" t="n"/>
      <c r="C400" s="26" t="n"/>
      <c r="D400" s="24" t="n"/>
      <c r="E400" s="26" t="n"/>
      <c r="F400" s="28">
        <f>IF(D400="","",SUM($D$5:D400))</f>
        <v/>
      </c>
    </row>
    <row r="401">
      <c r="A401" s="38" t="n"/>
      <c r="B401" s="26" t="n"/>
      <c r="C401" s="26" t="n"/>
      <c r="D401" s="24" t="n"/>
      <c r="E401" s="26" t="n"/>
      <c r="F401" s="28">
        <f>IF(D401="","",SUM($D$5:D401))</f>
        <v/>
      </c>
    </row>
    <row r="402">
      <c r="A402" s="38" t="n"/>
      <c r="B402" s="26" t="n"/>
      <c r="C402" s="26" t="n"/>
      <c r="D402" s="24" t="n"/>
      <c r="E402" s="26" t="n"/>
      <c r="F402" s="28">
        <f>IF(D402="","",SUM($D$5:D402))</f>
        <v/>
      </c>
    </row>
    <row r="403">
      <c r="A403" s="38" t="n"/>
      <c r="B403" s="26" t="n"/>
      <c r="C403" s="26" t="n"/>
      <c r="D403" s="24" t="n"/>
      <c r="E403" s="26" t="n"/>
      <c r="F403" s="28">
        <f>IF(D403="","",SUM($D$5:D403))</f>
        <v/>
      </c>
    </row>
    <row r="404">
      <c r="A404" s="38" t="n"/>
      <c r="B404" s="26" t="n"/>
      <c r="C404" s="26" t="n"/>
      <c r="D404" s="24" t="n"/>
      <c r="E404" s="26" t="n"/>
      <c r="F404" s="28">
        <f>IF(D404="","",SUM($D$5:D404))</f>
        <v/>
      </c>
    </row>
  </sheetData>
  <mergeCells count="2">
    <mergeCell ref="A2:F2"/>
    <mergeCell ref="A1:F1"/>
  </mergeCells>
  <dataValidations count="1">
    <dataValidation sqref="C5:C404" showDropDown="0" showInputMessage="0" showErrorMessage="1" allowBlank="1" errorTitle="Not on the list" error="This category is not on the Budget tab, so it will show as 'Not in a category'." type="list" errorStyle="warning">
      <formula1>=Budget!$A$6:$A$17</formula1>
    </dataValidation>
  </dataValidations>
  <printOptions horizontalCentered="1"/>
  <pageMargins left="0.4" right="0.4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tabColor rgb="00D9A441"/>
    <outlinePr summaryBelow="1" summaryRight="1"/>
    <pageSetUpPr fitToPage="1"/>
  </sheetPr>
  <dimension ref="A1:F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6" customWidth="1" min="5" max="5"/>
    <col width="26" customWidth="1" min="6" max="6"/>
  </cols>
  <sheetData>
    <row r="1" ht="38" customHeight="1">
      <c r="A1" s="1" t="inlineStr">
        <is>
          <t>Christmas Savings Plan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Set a goal and a start date; it works out how much to put aside each week.</t>
        </is>
      </c>
      <c r="B2" s="2" t="n"/>
      <c r="C2" s="2" t="n"/>
      <c r="D2" s="2" t="n"/>
      <c r="E2" s="2" t="n"/>
      <c r="F2" s="2" t="n"/>
    </row>
    <row r="3" ht="8" customHeight="1"/>
    <row r="4">
      <c r="A4" s="23" t="inlineStr">
        <is>
          <t>Savings goal</t>
        </is>
      </c>
      <c r="B4" s="24" t="n">
        <v>600</v>
      </c>
      <c r="C4" s="23" t="inlineStr">
        <is>
          <t>Saved so far</t>
        </is>
      </c>
      <c r="D4" s="39">
        <f>SUM(D10:D61)</f>
        <v/>
      </c>
    </row>
    <row r="5">
      <c r="A5" s="23" t="inlineStr">
        <is>
          <t>Start saving on</t>
        </is>
      </c>
      <c r="B5" s="38" t="n">
        <v>46272</v>
      </c>
      <c r="C5" s="23" t="inlineStr">
        <is>
          <t>Still to save</t>
        </is>
      </c>
      <c r="D5" s="39">
        <f>IF(B4="","",MAX(0,B4-D4))</f>
        <v/>
      </c>
    </row>
    <row r="6">
      <c r="A6" s="23" t="inlineStr">
        <is>
          <t>Christmas</t>
        </is>
      </c>
      <c r="B6" s="40">
        <f>IF(B5="","",DATE(YEAR(B5)+IF(B5&gt;DATE(YEAR(B5),12,25),1,0),12,25))</f>
        <v/>
      </c>
      <c r="C6" s="23" t="inlineStr">
        <is>
          <t>% of goal</t>
        </is>
      </c>
      <c r="D6" s="41">
        <f>IF(N(B4)=0,"",D4/B4)</f>
        <v/>
      </c>
      <c r="E6" s="14">
        <f>IF(D6="","",REPT("█",ROUND(MIN(1,MAX(0,D6))*20,0))&amp;REPT("░",20-ROUND(MIN(1,MAX(0,D6))*20,0)))</f>
        <v/>
      </c>
      <c r="F6" s="16" t="n"/>
    </row>
    <row r="7">
      <c r="A7" s="23" t="inlineStr">
        <is>
          <t>Weeks to save</t>
        </is>
      </c>
      <c r="B7" s="42">
        <f>IF(B6="","",MAX(1,ROUNDUP((B6-B5)/7,0)))</f>
        <v/>
      </c>
    </row>
    <row r="8">
      <c r="A8" s="23" t="inlineStr">
        <is>
          <t>Save each week</t>
        </is>
      </c>
      <c r="B8" s="43">
        <f>IF(OR(B4="",B7=""),"",B4/B7)</f>
        <v/>
      </c>
    </row>
    <row r="9" ht="30" customHeight="1">
      <c r="A9" s="22" t="inlineStr">
        <is>
          <t>Week</t>
        </is>
      </c>
      <c r="B9" s="22" t="inlineStr">
        <is>
          <t>Week of</t>
        </is>
      </c>
      <c r="C9" s="22" t="inlineStr">
        <is>
          <t>Plan</t>
        </is>
      </c>
      <c r="D9" s="22" t="inlineStr">
        <is>
          <t>Saved</t>
        </is>
      </c>
      <c r="E9" s="22" t="inlineStr">
        <is>
          <t>Total saved</t>
        </is>
      </c>
      <c r="F9" s="22" t="inlineStr">
        <is>
          <t>On track?</t>
        </is>
      </c>
    </row>
    <row r="10">
      <c r="A10" s="33">
        <f>IF(OR($B$7="",1&gt;$B$7),"",1)</f>
        <v/>
      </c>
      <c r="B10" s="40">
        <f>IF(A10="","",$B$5+7*(A10-1))</f>
        <v/>
      </c>
      <c r="C10" s="20">
        <f>IF(A10="","",$B$8)</f>
        <v/>
      </c>
      <c r="D10" s="24" t="n">
        <v>40</v>
      </c>
      <c r="E10" s="20">
        <f>IF(A10="","",SUM($D$10:D10))</f>
        <v/>
      </c>
      <c r="F10" s="19">
        <f>IF(OR(A10="",D10=""),"",IF(E10+0.005&gt;=$B$8*A10,"On track ✓","Behind by "&amp;TEXT($B$8*A10-E10,"$#,##0.00")))</f>
        <v/>
      </c>
    </row>
    <row r="11">
      <c r="A11" s="33">
        <f>IF(OR($B$7="",2&gt;$B$7),"",2)</f>
        <v/>
      </c>
      <c r="B11" s="40">
        <f>IF(A11="","",$B$5+7*(A11-1))</f>
        <v/>
      </c>
      <c r="C11" s="20">
        <f>IF(A11="","",$B$8)</f>
        <v/>
      </c>
      <c r="D11" s="24" t="n">
        <v>40</v>
      </c>
      <c r="E11" s="20">
        <f>IF(A11="","",SUM($D$10:D11))</f>
        <v/>
      </c>
      <c r="F11" s="19">
        <f>IF(OR(A11="",D11=""),"",IF(E11+0.005&gt;=$B$8*A11,"On track ✓","Behind by "&amp;TEXT($B$8*A11-E11,"$#,##0.00")))</f>
        <v/>
      </c>
    </row>
    <row r="12">
      <c r="A12" s="33">
        <f>IF(OR($B$7="",3&gt;$B$7),"",3)</f>
        <v/>
      </c>
      <c r="B12" s="40">
        <f>IF(A12="","",$B$5+7*(A12-1))</f>
        <v/>
      </c>
      <c r="C12" s="20">
        <f>IF(A12="","",$B$8)</f>
        <v/>
      </c>
      <c r="D12" s="24" t="n">
        <v>35</v>
      </c>
      <c r="E12" s="20">
        <f>IF(A12="","",SUM($D$10:D12))</f>
        <v/>
      </c>
      <c r="F12" s="19">
        <f>IF(OR(A12="",D12=""),"",IF(E12+0.005&gt;=$B$8*A12,"On track ✓","Behind by "&amp;TEXT($B$8*A12-E12,"$#,##0.00")))</f>
        <v/>
      </c>
    </row>
    <row r="13">
      <c r="A13" s="33">
        <f>IF(OR($B$7="",4&gt;$B$7),"",4)</f>
        <v/>
      </c>
      <c r="B13" s="40">
        <f>IF(A13="","",$B$5+7*(A13-1))</f>
        <v/>
      </c>
      <c r="C13" s="20">
        <f>IF(A13="","",$B$8)</f>
        <v/>
      </c>
      <c r="D13" s="24" t="n">
        <v>40</v>
      </c>
      <c r="E13" s="20">
        <f>IF(A13="","",SUM($D$10:D13))</f>
        <v/>
      </c>
      <c r="F13" s="19">
        <f>IF(OR(A13="",D13=""),"",IF(E13+0.005&gt;=$B$8*A13,"On track ✓","Behind by "&amp;TEXT($B$8*A13-E13,"$#,##0.00")))</f>
        <v/>
      </c>
    </row>
    <row r="14">
      <c r="A14" s="33">
        <f>IF(OR($B$7="",5&gt;$B$7),"",5)</f>
        <v/>
      </c>
      <c r="B14" s="40">
        <f>IF(A14="","",$B$5+7*(A14-1))</f>
        <v/>
      </c>
      <c r="C14" s="20">
        <f>IF(A14="","",$B$8)</f>
        <v/>
      </c>
      <c r="D14" s="24" t="n">
        <v>20</v>
      </c>
      <c r="E14" s="20">
        <f>IF(A14="","",SUM($D$10:D14))</f>
        <v/>
      </c>
      <c r="F14" s="19">
        <f>IF(OR(A14="",D14=""),"",IF(E14+0.005&gt;=$B$8*A14,"On track ✓","Behind by "&amp;TEXT($B$8*A14-E14,"$#,##0.00")))</f>
        <v/>
      </c>
    </row>
    <row r="15">
      <c r="A15" s="33">
        <f>IF(OR($B$7="",6&gt;$B$7),"",6)</f>
        <v/>
      </c>
      <c r="B15" s="40">
        <f>IF(A15="","",$B$5+7*(A15-1))</f>
        <v/>
      </c>
      <c r="C15" s="20">
        <f>IF(A15="","",$B$8)</f>
        <v/>
      </c>
      <c r="D15" s="24" t="n">
        <v>40</v>
      </c>
      <c r="E15" s="20">
        <f>IF(A15="","",SUM($D$10:D15))</f>
        <v/>
      </c>
      <c r="F15" s="19">
        <f>IF(OR(A15="",D15=""),"",IF(E15+0.005&gt;=$B$8*A15,"On track ✓","Behind by "&amp;TEXT($B$8*A15-E15,"$#,##0.00")))</f>
        <v/>
      </c>
    </row>
    <row r="16">
      <c r="A16" s="33">
        <f>IF(OR($B$7="",7&gt;$B$7),"",7)</f>
        <v/>
      </c>
      <c r="B16" s="40">
        <f>IF(A16="","",$B$5+7*(A16-1))</f>
        <v/>
      </c>
      <c r="C16" s="20">
        <f>IF(A16="","",$B$8)</f>
        <v/>
      </c>
      <c r="D16" s="24" t="n">
        <v>40</v>
      </c>
      <c r="E16" s="20">
        <f>IF(A16="","",SUM($D$10:D16))</f>
        <v/>
      </c>
      <c r="F16" s="19">
        <f>IF(OR(A16="",D16=""),"",IF(E16+0.005&gt;=$B$8*A16,"On track ✓","Behind by "&amp;TEXT($B$8*A16-E16,"$#,##0.00")))</f>
        <v/>
      </c>
    </row>
    <row r="17">
      <c r="A17" s="33">
        <f>IF(OR($B$7="",8&gt;$B$7),"",8)</f>
        <v/>
      </c>
      <c r="B17" s="40">
        <f>IF(A17="","",$B$5+7*(A17-1))</f>
        <v/>
      </c>
      <c r="C17" s="20">
        <f>IF(A17="","",$B$8)</f>
        <v/>
      </c>
      <c r="D17" s="24" t="n">
        <v>30</v>
      </c>
      <c r="E17" s="20">
        <f>IF(A17="","",SUM($D$10:D17))</f>
        <v/>
      </c>
      <c r="F17" s="19">
        <f>IF(OR(A17="",D17=""),"",IF(E17+0.005&gt;=$B$8*A17,"On track ✓","Behind by "&amp;TEXT($B$8*A17-E17,"$#,##0.00")))</f>
        <v/>
      </c>
    </row>
    <row r="18">
      <c r="A18" s="33">
        <f>IF(OR($B$7="",9&gt;$B$7),"",9)</f>
        <v/>
      </c>
      <c r="B18" s="40">
        <f>IF(A18="","",$B$5+7*(A18-1))</f>
        <v/>
      </c>
      <c r="C18" s="20">
        <f>IF(A18="","",$B$8)</f>
        <v/>
      </c>
      <c r="D18" s="24" t="n"/>
      <c r="E18" s="20">
        <f>IF(A18="","",SUM($D$10:D18))</f>
        <v/>
      </c>
      <c r="F18" s="19">
        <f>IF(OR(A18="",D18=""),"",IF(E18+0.005&gt;=$B$8*A18,"On track ✓","Behind by "&amp;TEXT($B$8*A18-E18,"$#,##0.00")))</f>
        <v/>
      </c>
    </row>
    <row r="19">
      <c r="A19" s="33">
        <f>IF(OR($B$7="",10&gt;$B$7),"",10)</f>
        <v/>
      </c>
      <c r="B19" s="40">
        <f>IF(A19="","",$B$5+7*(A19-1))</f>
        <v/>
      </c>
      <c r="C19" s="20">
        <f>IF(A19="","",$B$8)</f>
        <v/>
      </c>
      <c r="D19" s="24" t="n"/>
      <c r="E19" s="20">
        <f>IF(A19="","",SUM($D$10:D19))</f>
        <v/>
      </c>
      <c r="F19" s="19">
        <f>IF(OR(A19="",D19=""),"",IF(E19+0.005&gt;=$B$8*A19,"On track ✓","Behind by "&amp;TEXT($B$8*A19-E19,"$#,##0.00")))</f>
        <v/>
      </c>
    </row>
    <row r="20">
      <c r="A20" s="33">
        <f>IF(OR($B$7="",11&gt;$B$7),"",11)</f>
        <v/>
      </c>
      <c r="B20" s="40">
        <f>IF(A20="","",$B$5+7*(A20-1))</f>
        <v/>
      </c>
      <c r="C20" s="20">
        <f>IF(A20="","",$B$8)</f>
        <v/>
      </c>
      <c r="D20" s="24" t="n"/>
      <c r="E20" s="20">
        <f>IF(A20="","",SUM($D$10:D20))</f>
        <v/>
      </c>
      <c r="F20" s="19">
        <f>IF(OR(A20="",D20=""),"",IF(E20+0.005&gt;=$B$8*A20,"On track ✓","Behind by "&amp;TEXT($B$8*A20-E20,"$#,##0.00")))</f>
        <v/>
      </c>
    </row>
    <row r="21">
      <c r="A21" s="33">
        <f>IF(OR($B$7="",12&gt;$B$7),"",12)</f>
        <v/>
      </c>
      <c r="B21" s="40">
        <f>IF(A21="","",$B$5+7*(A21-1))</f>
        <v/>
      </c>
      <c r="C21" s="20">
        <f>IF(A21="","",$B$8)</f>
        <v/>
      </c>
      <c r="D21" s="24" t="n"/>
      <c r="E21" s="20">
        <f>IF(A21="","",SUM($D$10:D21))</f>
        <v/>
      </c>
      <c r="F21" s="19">
        <f>IF(OR(A21="",D21=""),"",IF(E21+0.005&gt;=$B$8*A21,"On track ✓","Behind by "&amp;TEXT($B$8*A21-E21,"$#,##0.00")))</f>
        <v/>
      </c>
    </row>
    <row r="22">
      <c r="A22" s="33">
        <f>IF(OR($B$7="",13&gt;$B$7),"",13)</f>
        <v/>
      </c>
      <c r="B22" s="40">
        <f>IF(A22="","",$B$5+7*(A22-1))</f>
        <v/>
      </c>
      <c r="C22" s="20">
        <f>IF(A22="","",$B$8)</f>
        <v/>
      </c>
      <c r="D22" s="24" t="n"/>
      <c r="E22" s="20">
        <f>IF(A22="","",SUM($D$10:D22))</f>
        <v/>
      </c>
      <c r="F22" s="19">
        <f>IF(OR(A22="",D22=""),"",IF(E22+0.005&gt;=$B$8*A22,"On track ✓","Behind by "&amp;TEXT($B$8*A22-E22,"$#,##0.00")))</f>
        <v/>
      </c>
    </row>
    <row r="23">
      <c r="A23" s="33">
        <f>IF(OR($B$7="",14&gt;$B$7),"",14)</f>
        <v/>
      </c>
      <c r="B23" s="40">
        <f>IF(A23="","",$B$5+7*(A23-1))</f>
        <v/>
      </c>
      <c r="C23" s="20">
        <f>IF(A23="","",$B$8)</f>
        <v/>
      </c>
      <c r="D23" s="24" t="n"/>
      <c r="E23" s="20">
        <f>IF(A23="","",SUM($D$10:D23))</f>
        <v/>
      </c>
      <c r="F23" s="19">
        <f>IF(OR(A23="",D23=""),"",IF(E23+0.005&gt;=$B$8*A23,"On track ✓","Behind by "&amp;TEXT($B$8*A23-E23,"$#,##0.00")))</f>
        <v/>
      </c>
    </row>
    <row r="24">
      <c r="A24" s="33">
        <f>IF(OR($B$7="",15&gt;$B$7),"",15)</f>
        <v/>
      </c>
      <c r="B24" s="40">
        <f>IF(A24="","",$B$5+7*(A24-1))</f>
        <v/>
      </c>
      <c r="C24" s="20">
        <f>IF(A24="","",$B$8)</f>
        <v/>
      </c>
      <c r="D24" s="24" t="n"/>
      <c r="E24" s="20">
        <f>IF(A24="","",SUM($D$10:D24))</f>
        <v/>
      </c>
      <c r="F24" s="19">
        <f>IF(OR(A24="",D24=""),"",IF(E24+0.005&gt;=$B$8*A24,"On track ✓","Behind by "&amp;TEXT($B$8*A24-E24,"$#,##0.00")))</f>
        <v/>
      </c>
    </row>
    <row r="25">
      <c r="A25" s="33">
        <f>IF(OR($B$7="",16&gt;$B$7),"",16)</f>
        <v/>
      </c>
      <c r="B25" s="40">
        <f>IF(A25="","",$B$5+7*(A25-1))</f>
        <v/>
      </c>
      <c r="C25" s="20">
        <f>IF(A25="","",$B$8)</f>
        <v/>
      </c>
      <c r="D25" s="24" t="n"/>
      <c r="E25" s="20">
        <f>IF(A25="","",SUM($D$10:D25))</f>
        <v/>
      </c>
      <c r="F25" s="19">
        <f>IF(OR(A25="",D25=""),"",IF(E25+0.005&gt;=$B$8*A25,"On track ✓","Behind by "&amp;TEXT($B$8*A25-E25,"$#,##0.00")))</f>
        <v/>
      </c>
    </row>
    <row r="26">
      <c r="A26" s="33">
        <f>IF(OR($B$7="",17&gt;$B$7),"",17)</f>
        <v/>
      </c>
      <c r="B26" s="40">
        <f>IF(A26="","",$B$5+7*(A26-1))</f>
        <v/>
      </c>
      <c r="C26" s="20">
        <f>IF(A26="","",$B$8)</f>
        <v/>
      </c>
      <c r="D26" s="24" t="n"/>
      <c r="E26" s="20">
        <f>IF(A26="","",SUM($D$10:D26))</f>
        <v/>
      </c>
      <c r="F26" s="19">
        <f>IF(OR(A26="",D26=""),"",IF(E26+0.005&gt;=$B$8*A26,"On track ✓","Behind by "&amp;TEXT($B$8*A26-E26,"$#,##0.00")))</f>
        <v/>
      </c>
    </row>
    <row r="27">
      <c r="A27" s="33">
        <f>IF(OR($B$7="",18&gt;$B$7),"",18)</f>
        <v/>
      </c>
      <c r="B27" s="40">
        <f>IF(A27="","",$B$5+7*(A27-1))</f>
        <v/>
      </c>
      <c r="C27" s="20">
        <f>IF(A27="","",$B$8)</f>
        <v/>
      </c>
      <c r="D27" s="24" t="n"/>
      <c r="E27" s="20">
        <f>IF(A27="","",SUM($D$10:D27))</f>
        <v/>
      </c>
      <c r="F27" s="19">
        <f>IF(OR(A27="",D27=""),"",IF(E27+0.005&gt;=$B$8*A27,"On track ✓","Behind by "&amp;TEXT($B$8*A27-E27,"$#,##0.00")))</f>
        <v/>
      </c>
    </row>
    <row r="28">
      <c r="A28" s="33">
        <f>IF(OR($B$7="",19&gt;$B$7),"",19)</f>
        <v/>
      </c>
      <c r="B28" s="40">
        <f>IF(A28="","",$B$5+7*(A28-1))</f>
        <v/>
      </c>
      <c r="C28" s="20">
        <f>IF(A28="","",$B$8)</f>
        <v/>
      </c>
      <c r="D28" s="24" t="n"/>
      <c r="E28" s="20">
        <f>IF(A28="","",SUM($D$10:D28))</f>
        <v/>
      </c>
      <c r="F28" s="19">
        <f>IF(OR(A28="",D28=""),"",IF(E28+0.005&gt;=$B$8*A28,"On track ✓","Behind by "&amp;TEXT($B$8*A28-E28,"$#,##0.00")))</f>
        <v/>
      </c>
    </row>
    <row r="29">
      <c r="A29" s="33">
        <f>IF(OR($B$7="",20&gt;$B$7),"",20)</f>
        <v/>
      </c>
      <c r="B29" s="40">
        <f>IF(A29="","",$B$5+7*(A29-1))</f>
        <v/>
      </c>
      <c r="C29" s="20">
        <f>IF(A29="","",$B$8)</f>
        <v/>
      </c>
      <c r="D29" s="24" t="n"/>
      <c r="E29" s="20">
        <f>IF(A29="","",SUM($D$10:D29))</f>
        <v/>
      </c>
      <c r="F29" s="19">
        <f>IF(OR(A29="",D29=""),"",IF(E29+0.005&gt;=$B$8*A29,"On track ✓","Behind by "&amp;TEXT($B$8*A29-E29,"$#,##0.00")))</f>
        <v/>
      </c>
    </row>
    <row r="30">
      <c r="A30" s="33">
        <f>IF(OR($B$7="",21&gt;$B$7),"",21)</f>
        <v/>
      </c>
      <c r="B30" s="40">
        <f>IF(A30="","",$B$5+7*(A30-1))</f>
        <v/>
      </c>
      <c r="C30" s="20">
        <f>IF(A30="","",$B$8)</f>
        <v/>
      </c>
      <c r="D30" s="24" t="n"/>
      <c r="E30" s="20">
        <f>IF(A30="","",SUM($D$10:D30))</f>
        <v/>
      </c>
      <c r="F30" s="19">
        <f>IF(OR(A30="",D30=""),"",IF(E30+0.005&gt;=$B$8*A30,"On track ✓","Behind by "&amp;TEXT($B$8*A30-E30,"$#,##0.00")))</f>
        <v/>
      </c>
    </row>
    <row r="31">
      <c r="A31" s="33">
        <f>IF(OR($B$7="",22&gt;$B$7),"",22)</f>
        <v/>
      </c>
      <c r="B31" s="40">
        <f>IF(A31="","",$B$5+7*(A31-1))</f>
        <v/>
      </c>
      <c r="C31" s="20">
        <f>IF(A31="","",$B$8)</f>
        <v/>
      </c>
      <c r="D31" s="24" t="n"/>
      <c r="E31" s="20">
        <f>IF(A31="","",SUM($D$10:D31))</f>
        <v/>
      </c>
      <c r="F31" s="19">
        <f>IF(OR(A31="",D31=""),"",IF(E31+0.005&gt;=$B$8*A31,"On track ✓","Behind by "&amp;TEXT($B$8*A31-E31,"$#,##0.00")))</f>
        <v/>
      </c>
    </row>
    <row r="32">
      <c r="A32" s="33">
        <f>IF(OR($B$7="",23&gt;$B$7),"",23)</f>
        <v/>
      </c>
      <c r="B32" s="40">
        <f>IF(A32="","",$B$5+7*(A32-1))</f>
        <v/>
      </c>
      <c r="C32" s="20">
        <f>IF(A32="","",$B$8)</f>
        <v/>
      </c>
      <c r="D32" s="24" t="n"/>
      <c r="E32" s="20">
        <f>IF(A32="","",SUM($D$10:D32))</f>
        <v/>
      </c>
      <c r="F32" s="19">
        <f>IF(OR(A32="",D32=""),"",IF(E32+0.005&gt;=$B$8*A32,"On track ✓","Behind by "&amp;TEXT($B$8*A32-E32,"$#,##0.00")))</f>
        <v/>
      </c>
    </row>
    <row r="33">
      <c r="A33" s="33">
        <f>IF(OR($B$7="",24&gt;$B$7),"",24)</f>
        <v/>
      </c>
      <c r="B33" s="40">
        <f>IF(A33="","",$B$5+7*(A33-1))</f>
        <v/>
      </c>
      <c r="C33" s="20">
        <f>IF(A33="","",$B$8)</f>
        <v/>
      </c>
      <c r="D33" s="24" t="n"/>
      <c r="E33" s="20">
        <f>IF(A33="","",SUM($D$10:D33))</f>
        <v/>
      </c>
      <c r="F33" s="19">
        <f>IF(OR(A33="",D33=""),"",IF(E33+0.005&gt;=$B$8*A33,"On track ✓","Behind by "&amp;TEXT($B$8*A33-E33,"$#,##0.00")))</f>
        <v/>
      </c>
    </row>
    <row r="34">
      <c r="A34" s="33">
        <f>IF(OR($B$7="",25&gt;$B$7),"",25)</f>
        <v/>
      </c>
      <c r="B34" s="40">
        <f>IF(A34="","",$B$5+7*(A34-1))</f>
        <v/>
      </c>
      <c r="C34" s="20">
        <f>IF(A34="","",$B$8)</f>
        <v/>
      </c>
      <c r="D34" s="24" t="n"/>
      <c r="E34" s="20">
        <f>IF(A34="","",SUM($D$10:D34))</f>
        <v/>
      </c>
      <c r="F34" s="19">
        <f>IF(OR(A34="",D34=""),"",IF(E34+0.005&gt;=$B$8*A34,"On track ✓","Behind by "&amp;TEXT($B$8*A34-E34,"$#,##0.00")))</f>
        <v/>
      </c>
    </row>
    <row r="35">
      <c r="A35" s="33">
        <f>IF(OR($B$7="",26&gt;$B$7),"",26)</f>
        <v/>
      </c>
      <c r="B35" s="40">
        <f>IF(A35="","",$B$5+7*(A35-1))</f>
        <v/>
      </c>
      <c r="C35" s="20">
        <f>IF(A35="","",$B$8)</f>
        <v/>
      </c>
      <c r="D35" s="24" t="n"/>
      <c r="E35" s="20">
        <f>IF(A35="","",SUM($D$10:D35))</f>
        <v/>
      </c>
      <c r="F35" s="19">
        <f>IF(OR(A35="",D35=""),"",IF(E35+0.005&gt;=$B$8*A35,"On track ✓","Behind by "&amp;TEXT($B$8*A35-E35,"$#,##0.00")))</f>
        <v/>
      </c>
    </row>
    <row r="36">
      <c r="A36" s="33">
        <f>IF(OR($B$7="",27&gt;$B$7),"",27)</f>
        <v/>
      </c>
      <c r="B36" s="40">
        <f>IF(A36="","",$B$5+7*(A36-1))</f>
        <v/>
      </c>
      <c r="C36" s="20">
        <f>IF(A36="","",$B$8)</f>
        <v/>
      </c>
      <c r="D36" s="24" t="n"/>
      <c r="E36" s="20">
        <f>IF(A36="","",SUM($D$10:D36))</f>
        <v/>
      </c>
      <c r="F36" s="19">
        <f>IF(OR(A36="",D36=""),"",IF(E36+0.005&gt;=$B$8*A36,"On track ✓","Behind by "&amp;TEXT($B$8*A36-E36,"$#,##0.00")))</f>
        <v/>
      </c>
    </row>
    <row r="37">
      <c r="A37" s="33">
        <f>IF(OR($B$7="",28&gt;$B$7),"",28)</f>
        <v/>
      </c>
      <c r="B37" s="40">
        <f>IF(A37="","",$B$5+7*(A37-1))</f>
        <v/>
      </c>
      <c r="C37" s="20">
        <f>IF(A37="","",$B$8)</f>
        <v/>
      </c>
      <c r="D37" s="24" t="n"/>
      <c r="E37" s="20">
        <f>IF(A37="","",SUM($D$10:D37))</f>
        <v/>
      </c>
      <c r="F37" s="19">
        <f>IF(OR(A37="",D37=""),"",IF(E37+0.005&gt;=$B$8*A37,"On track ✓","Behind by "&amp;TEXT($B$8*A37-E37,"$#,##0.00")))</f>
        <v/>
      </c>
    </row>
    <row r="38">
      <c r="A38" s="33">
        <f>IF(OR($B$7="",29&gt;$B$7),"",29)</f>
        <v/>
      </c>
      <c r="B38" s="40">
        <f>IF(A38="","",$B$5+7*(A38-1))</f>
        <v/>
      </c>
      <c r="C38" s="20">
        <f>IF(A38="","",$B$8)</f>
        <v/>
      </c>
      <c r="D38" s="24" t="n"/>
      <c r="E38" s="20">
        <f>IF(A38="","",SUM($D$10:D38))</f>
        <v/>
      </c>
      <c r="F38" s="19">
        <f>IF(OR(A38="",D38=""),"",IF(E38+0.005&gt;=$B$8*A38,"On track ✓","Behind by "&amp;TEXT($B$8*A38-E38,"$#,##0.00")))</f>
        <v/>
      </c>
    </row>
    <row r="39">
      <c r="A39" s="33">
        <f>IF(OR($B$7="",30&gt;$B$7),"",30)</f>
        <v/>
      </c>
      <c r="B39" s="40">
        <f>IF(A39="","",$B$5+7*(A39-1))</f>
        <v/>
      </c>
      <c r="C39" s="20">
        <f>IF(A39="","",$B$8)</f>
        <v/>
      </c>
      <c r="D39" s="24" t="n"/>
      <c r="E39" s="20">
        <f>IF(A39="","",SUM($D$10:D39))</f>
        <v/>
      </c>
      <c r="F39" s="19">
        <f>IF(OR(A39="",D39=""),"",IF(E39+0.005&gt;=$B$8*A39,"On track ✓","Behind by "&amp;TEXT($B$8*A39-E39,"$#,##0.00")))</f>
        <v/>
      </c>
    </row>
    <row r="40">
      <c r="A40" s="33">
        <f>IF(OR($B$7="",31&gt;$B$7),"",31)</f>
        <v/>
      </c>
      <c r="B40" s="40">
        <f>IF(A40="","",$B$5+7*(A40-1))</f>
        <v/>
      </c>
      <c r="C40" s="20">
        <f>IF(A40="","",$B$8)</f>
        <v/>
      </c>
      <c r="D40" s="24" t="n"/>
      <c r="E40" s="20">
        <f>IF(A40="","",SUM($D$10:D40))</f>
        <v/>
      </c>
      <c r="F40" s="19">
        <f>IF(OR(A40="",D40=""),"",IF(E40+0.005&gt;=$B$8*A40,"On track ✓","Behind by "&amp;TEXT($B$8*A40-E40,"$#,##0.00")))</f>
        <v/>
      </c>
    </row>
    <row r="41">
      <c r="A41" s="33">
        <f>IF(OR($B$7="",32&gt;$B$7),"",32)</f>
        <v/>
      </c>
      <c r="B41" s="40">
        <f>IF(A41="","",$B$5+7*(A41-1))</f>
        <v/>
      </c>
      <c r="C41" s="20">
        <f>IF(A41="","",$B$8)</f>
        <v/>
      </c>
      <c r="D41" s="24" t="n"/>
      <c r="E41" s="20">
        <f>IF(A41="","",SUM($D$10:D41))</f>
        <v/>
      </c>
      <c r="F41" s="19">
        <f>IF(OR(A41="",D41=""),"",IF(E41+0.005&gt;=$B$8*A41,"On track ✓","Behind by "&amp;TEXT($B$8*A41-E41,"$#,##0.00")))</f>
        <v/>
      </c>
    </row>
    <row r="42">
      <c r="A42" s="33">
        <f>IF(OR($B$7="",33&gt;$B$7),"",33)</f>
        <v/>
      </c>
      <c r="B42" s="40">
        <f>IF(A42="","",$B$5+7*(A42-1))</f>
        <v/>
      </c>
      <c r="C42" s="20">
        <f>IF(A42="","",$B$8)</f>
        <v/>
      </c>
      <c r="D42" s="24" t="n"/>
      <c r="E42" s="20">
        <f>IF(A42="","",SUM($D$10:D42))</f>
        <v/>
      </c>
      <c r="F42" s="19">
        <f>IF(OR(A42="",D42=""),"",IF(E42+0.005&gt;=$B$8*A42,"On track ✓","Behind by "&amp;TEXT($B$8*A42-E42,"$#,##0.00")))</f>
        <v/>
      </c>
    </row>
    <row r="43">
      <c r="A43" s="33">
        <f>IF(OR($B$7="",34&gt;$B$7),"",34)</f>
        <v/>
      </c>
      <c r="B43" s="40">
        <f>IF(A43="","",$B$5+7*(A43-1))</f>
        <v/>
      </c>
      <c r="C43" s="20">
        <f>IF(A43="","",$B$8)</f>
        <v/>
      </c>
      <c r="D43" s="24" t="n"/>
      <c r="E43" s="20">
        <f>IF(A43="","",SUM($D$10:D43))</f>
        <v/>
      </c>
      <c r="F43" s="19">
        <f>IF(OR(A43="",D43=""),"",IF(E43+0.005&gt;=$B$8*A43,"On track ✓","Behind by "&amp;TEXT($B$8*A43-E43,"$#,##0.00")))</f>
        <v/>
      </c>
    </row>
    <row r="44">
      <c r="A44" s="33">
        <f>IF(OR($B$7="",35&gt;$B$7),"",35)</f>
        <v/>
      </c>
      <c r="B44" s="40">
        <f>IF(A44="","",$B$5+7*(A44-1))</f>
        <v/>
      </c>
      <c r="C44" s="20">
        <f>IF(A44="","",$B$8)</f>
        <v/>
      </c>
      <c r="D44" s="24" t="n"/>
      <c r="E44" s="20">
        <f>IF(A44="","",SUM($D$10:D44))</f>
        <v/>
      </c>
      <c r="F44" s="19">
        <f>IF(OR(A44="",D44=""),"",IF(E44+0.005&gt;=$B$8*A44,"On track ✓","Behind by "&amp;TEXT($B$8*A44-E44,"$#,##0.00")))</f>
        <v/>
      </c>
    </row>
    <row r="45">
      <c r="A45" s="33">
        <f>IF(OR($B$7="",36&gt;$B$7),"",36)</f>
        <v/>
      </c>
      <c r="B45" s="40">
        <f>IF(A45="","",$B$5+7*(A45-1))</f>
        <v/>
      </c>
      <c r="C45" s="20">
        <f>IF(A45="","",$B$8)</f>
        <v/>
      </c>
      <c r="D45" s="24" t="n"/>
      <c r="E45" s="20">
        <f>IF(A45="","",SUM($D$10:D45))</f>
        <v/>
      </c>
      <c r="F45" s="19">
        <f>IF(OR(A45="",D45=""),"",IF(E45+0.005&gt;=$B$8*A45,"On track ✓","Behind by "&amp;TEXT($B$8*A45-E45,"$#,##0.00")))</f>
        <v/>
      </c>
    </row>
    <row r="46">
      <c r="A46" s="33">
        <f>IF(OR($B$7="",37&gt;$B$7),"",37)</f>
        <v/>
      </c>
      <c r="B46" s="40">
        <f>IF(A46="","",$B$5+7*(A46-1))</f>
        <v/>
      </c>
      <c r="C46" s="20">
        <f>IF(A46="","",$B$8)</f>
        <v/>
      </c>
      <c r="D46" s="24" t="n"/>
      <c r="E46" s="20">
        <f>IF(A46="","",SUM($D$10:D46))</f>
        <v/>
      </c>
      <c r="F46" s="19">
        <f>IF(OR(A46="",D46=""),"",IF(E46+0.005&gt;=$B$8*A46,"On track ✓","Behind by "&amp;TEXT($B$8*A46-E46,"$#,##0.00")))</f>
        <v/>
      </c>
    </row>
    <row r="47">
      <c r="A47" s="33">
        <f>IF(OR($B$7="",38&gt;$B$7),"",38)</f>
        <v/>
      </c>
      <c r="B47" s="40">
        <f>IF(A47="","",$B$5+7*(A47-1))</f>
        <v/>
      </c>
      <c r="C47" s="20">
        <f>IF(A47="","",$B$8)</f>
        <v/>
      </c>
      <c r="D47" s="24" t="n"/>
      <c r="E47" s="20">
        <f>IF(A47="","",SUM($D$10:D47))</f>
        <v/>
      </c>
      <c r="F47" s="19">
        <f>IF(OR(A47="",D47=""),"",IF(E47+0.005&gt;=$B$8*A47,"On track ✓","Behind by "&amp;TEXT($B$8*A47-E47,"$#,##0.00")))</f>
        <v/>
      </c>
    </row>
    <row r="48">
      <c r="A48" s="33">
        <f>IF(OR($B$7="",39&gt;$B$7),"",39)</f>
        <v/>
      </c>
      <c r="B48" s="40">
        <f>IF(A48="","",$B$5+7*(A48-1))</f>
        <v/>
      </c>
      <c r="C48" s="20">
        <f>IF(A48="","",$B$8)</f>
        <v/>
      </c>
      <c r="D48" s="24" t="n"/>
      <c r="E48" s="20">
        <f>IF(A48="","",SUM($D$10:D48))</f>
        <v/>
      </c>
      <c r="F48" s="19">
        <f>IF(OR(A48="",D48=""),"",IF(E48+0.005&gt;=$B$8*A48,"On track ✓","Behind by "&amp;TEXT($B$8*A48-E48,"$#,##0.00")))</f>
        <v/>
      </c>
    </row>
    <row r="49">
      <c r="A49" s="33">
        <f>IF(OR($B$7="",40&gt;$B$7),"",40)</f>
        <v/>
      </c>
      <c r="B49" s="40">
        <f>IF(A49="","",$B$5+7*(A49-1))</f>
        <v/>
      </c>
      <c r="C49" s="20">
        <f>IF(A49="","",$B$8)</f>
        <v/>
      </c>
      <c r="D49" s="24" t="n"/>
      <c r="E49" s="20">
        <f>IF(A49="","",SUM($D$10:D49))</f>
        <v/>
      </c>
      <c r="F49" s="19">
        <f>IF(OR(A49="",D49=""),"",IF(E49+0.005&gt;=$B$8*A49,"On track ✓","Behind by "&amp;TEXT($B$8*A49-E49,"$#,##0.00")))</f>
        <v/>
      </c>
    </row>
    <row r="50">
      <c r="A50" s="33">
        <f>IF(OR($B$7="",41&gt;$B$7),"",41)</f>
        <v/>
      </c>
      <c r="B50" s="40">
        <f>IF(A50="","",$B$5+7*(A50-1))</f>
        <v/>
      </c>
      <c r="C50" s="20">
        <f>IF(A50="","",$B$8)</f>
        <v/>
      </c>
      <c r="D50" s="24" t="n"/>
      <c r="E50" s="20">
        <f>IF(A50="","",SUM($D$10:D50))</f>
        <v/>
      </c>
      <c r="F50" s="19">
        <f>IF(OR(A50="",D50=""),"",IF(E50+0.005&gt;=$B$8*A50,"On track ✓","Behind by "&amp;TEXT($B$8*A50-E50,"$#,##0.00")))</f>
        <v/>
      </c>
    </row>
    <row r="51">
      <c r="A51" s="33">
        <f>IF(OR($B$7="",42&gt;$B$7),"",42)</f>
        <v/>
      </c>
      <c r="B51" s="40">
        <f>IF(A51="","",$B$5+7*(A51-1))</f>
        <v/>
      </c>
      <c r="C51" s="20">
        <f>IF(A51="","",$B$8)</f>
        <v/>
      </c>
      <c r="D51" s="24" t="n"/>
      <c r="E51" s="20">
        <f>IF(A51="","",SUM($D$10:D51))</f>
        <v/>
      </c>
      <c r="F51" s="19">
        <f>IF(OR(A51="",D51=""),"",IF(E51+0.005&gt;=$B$8*A51,"On track ✓","Behind by "&amp;TEXT($B$8*A51-E51,"$#,##0.00")))</f>
        <v/>
      </c>
    </row>
    <row r="52">
      <c r="A52" s="33">
        <f>IF(OR($B$7="",43&gt;$B$7),"",43)</f>
        <v/>
      </c>
      <c r="B52" s="40">
        <f>IF(A52="","",$B$5+7*(A52-1))</f>
        <v/>
      </c>
      <c r="C52" s="20">
        <f>IF(A52="","",$B$8)</f>
        <v/>
      </c>
      <c r="D52" s="24" t="n"/>
      <c r="E52" s="20">
        <f>IF(A52="","",SUM($D$10:D52))</f>
        <v/>
      </c>
      <c r="F52" s="19">
        <f>IF(OR(A52="",D52=""),"",IF(E52+0.005&gt;=$B$8*A52,"On track ✓","Behind by "&amp;TEXT($B$8*A52-E52,"$#,##0.00")))</f>
        <v/>
      </c>
    </row>
    <row r="53">
      <c r="A53" s="33">
        <f>IF(OR($B$7="",44&gt;$B$7),"",44)</f>
        <v/>
      </c>
      <c r="B53" s="40">
        <f>IF(A53="","",$B$5+7*(A53-1))</f>
        <v/>
      </c>
      <c r="C53" s="20">
        <f>IF(A53="","",$B$8)</f>
        <v/>
      </c>
      <c r="D53" s="24" t="n"/>
      <c r="E53" s="20">
        <f>IF(A53="","",SUM($D$10:D53))</f>
        <v/>
      </c>
      <c r="F53" s="19">
        <f>IF(OR(A53="",D53=""),"",IF(E53+0.005&gt;=$B$8*A53,"On track ✓","Behind by "&amp;TEXT($B$8*A53-E53,"$#,##0.00")))</f>
        <v/>
      </c>
    </row>
    <row r="54">
      <c r="A54" s="33">
        <f>IF(OR($B$7="",45&gt;$B$7),"",45)</f>
        <v/>
      </c>
      <c r="B54" s="40">
        <f>IF(A54="","",$B$5+7*(A54-1))</f>
        <v/>
      </c>
      <c r="C54" s="20">
        <f>IF(A54="","",$B$8)</f>
        <v/>
      </c>
      <c r="D54" s="24" t="n"/>
      <c r="E54" s="20">
        <f>IF(A54="","",SUM($D$10:D54))</f>
        <v/>
      </c>
      <c r="F54" s="19">
        <f>IF(OR(A54="",D54=""),"",IF(E54+0.005&gt;=$B$8*A54,"On track ✓","Behind by "&amp;TEXT($B$8*A54-E54,"$#,##0.00")))</f>
        <v/>
      </c>
    </row>
    <row r="55">
      <c r="A55" s="33">
        <f>IF(OR($B$7="",46&gt;$B$7),"",46)</f>
        <v/>
      </c>
      <c r="B55" s="40">
        <f>IF(A55="","",$B$5+7*(A55-1))</f>
        <v/>
      </c>
      <c r="C55" s="20">
        <f>IF(A55="","",$B$8)</f>
        <v/>
      </c>
      <c r="D55" s="24" t="n"/>
      <c r="E55" s="20">
        <f>IF(A55="","",SUM($D$10:D55))</f>
        <v/>
      </c>
      <c r="F55" s="19">
        <f>IF(OR(A55="",D55=""),"",IF(E55+0.005&gt;=$B$8*A55,"On track ✓","Behind by "&amp;TEXT($B$8*A55-E55,"$#,##0.00")))</f>
        <v/>
      </c>
    </row>
    <row r="56">
      <c r="A56" s="33">
        <f>IF(OR($B$7="",47&gt;$B$7),"",47)</f>
        <v/>
      </c>
      <c r="B56" s="40">
        <f>IF(A56="","",$B$5+7*(A56-1))</f>
        <v/>
      </c>
      <c r="C56" s="20">
        <f>IF(A56="","",$B$8)</f>
        <v/>
      </c>
      <c r="D56" s="24" t="n"/>
      <c r="E56" s="20">
        <f>IF(A56="","",SUM($D$10:D56))</f>
        <v/>
      </c>
      <c r="F56" s="19">
        <f>IF(OR(A56="",D56=""),"",IF(E56+0.005&gt;=$B$8*A56,"On track ✓","Behind by "&amp;TEXT($B$8*A56-E56,"$#,##0.00")))</f>
        <v/>
      </c>
    </row>
    <row r="57">
      <c r="A57" s="33">
        <f>IF(OR($B$7="",48&gt;$B$7),"",48)</f>
        <v/>
      </c>
      <c r="B57" s="40">
        <f>IF(A57="","",$B$5+7*(A57-1))</f>
        <v/>
      </c>
      <c r="C57" s="20">
        <f>IF(A57="","",$B$8)</f>
        <v/>
      </c>
      <c r="D57" s="24" t="n"/>
      <c r="E57" s="20">
        <f>IF(A57="","",SUM($D$10:D57))</f>
        <v/>
      </c>
      <c r="F57" s="19">
        <f>IF(OR(A57="",D57=""),"",IF(E57+0.005&gt;=$B$8*A57,"On track ✓","Behind by "&amp;TEXT($B$8*A57-E57,"$#,##0.00")))</f>
        <v/>
      </c>
    </row>
    <row r="58">
      <c r="A58" s="33">
        <f>IF(OR($B$7="",49&gt;$B$7),"",49)</f>
        <v/>
      </c>
      <c r="B58" s="40">
        <f>IF(A58="","",$B$5+7*(A58-1))</f>
        <v/>
      </c>
      <c r="C58" s="20">
        <f>IF(A58="","",$B$8)</f>
        <v/>
      </c>
      <c r="D58" s="24" t="n"/>
      <c r="E58" s="20">
        <f>IF(A58="","",SUM($D$10:D58))</f>
        <v/>
      </c>
      <c r="F58" s="19">
        <f>IF(OR(A58="",D58=""),"",IF(E58+0.005&gt;=$B$8*A58,"On track ✓","Behind by "&amp;TEXT($B$8*A58-E58,"$#,##0.00")))</f>
        <v/>
      </c>
    </row>
    <row r="59">
      <c r="A59" s="33">
        <f>IF(OR($B$7="",50&gt;$B$7),"",50)</f>
        <v/>
      </c>
      <c r="B59" s="40">
        <f>IF(A59="","",$B$5+7*(A59-1))</f>
        <v/>
      </c>
      <c r="C59" s="20">
        <f>IF(A59="","",$B$8)</f>
        <v/>
      </c>
      <c r="D59" s="24" t="n"/>
      <c r="E59" s="20">
        <f>IF(A59="","",SUM($D$10:D59))</f>
        <v/>
      </c>
      <c r="F59" s="19">
        <f>IF(OR(A59="",D59=""),"",IF(E59+0.005&gt;=$B$8*A59,"On track ✓","Behind by "&amp;TEXT($B$8*A59-E59,"$#,##0.00")))</f>
        <v/>
      </c>
    </row>
    <row r="60">
      <c r="A60" s="33">
        <f>IF(OR($B$7="",51&gt;$B$7),"",51)</f>
        <v/>
      </c>
      <c r="B60" s="40">
        <f>IF(A60="","",$B$5+7*(A60-1))</f>
        <v/>
      </c>
      <c r="C60" s="20">
        <f>IF(A60="","",$B$8)</f>
        <v/>
      </c>
      <c r="D60" s="24" t="n"/>
      <c r="E60" s="20">
        <f>IF(A60="","",SUM($D$10:D60))</f>
        <v/>
      </c>
      <c r="F60" s="19">
        <f>IF(OR(A60="",D60=""),"",IF(E60+0.005&gt;=$B$8*A60,"On track ✓","Behind by "&amp;TEXT($B$8*A60-E60,"$#,##0.00")))</f>
        <v/>
      </c>
    </row>
    <row r="61">
      <c r="A61" s="33">
        <f>IF(OR($B$7="",52&gt;$B$7),"",52)</f>
        <v/>
      </c>
      <c r="B61" s="40">
        <f>IF(A61="","",$B$5+7*(A61-1))</f>
        <v/>
      </c>
      <c r="C61" s="20">
        <f>IF(A61="","",$B$8)</f>
        <v/>
      </c>
      <c r="D61" s="24" t="n"/>
      <c r="E61" s="20">
        <f>IF(A61="","",SUM($D$10:D61))</f>
        <v/>
      </c>
      <c r="F61" s="19">
        <f>IF(OR(A61="",D61=""),"",IF(E61+0.005&gt;=$B$8*A61,"On track ✓","Behind by "&amp;TEXT($B$8*A61-E61,"$#,##0.00")))</f>
        <v/>
      </c>
    </row>
  </sheetData>
  <mergeCells count="3">
    <mergeCell ref="A2:F2"/>
    <mergeCell ref="A1:F1"/>
    <mergeCell ref="E6:F6"/>
  </mergeCells>
  <conditionalFormatting sqref="F10:F61">
    <cfRule type="expression" priority="1" dxfId="0">
      <formula>LEFT(F10,6)="Behind"</formula>
    </cfRule>
    <cfRule type="expression" priority="2" dxfId="2">
      <formula>LEFT(F10,2)="On"</formula>
    </cfRule>
  </conditionalFormatting>
  <printOptions horizontalCentered="1"/>
  <pageMargins left="0.4" right="0.4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2026-10-26T15:33:45Z</dcterms:created>
  <dcterms:modified xmlns:dcterms="http://purl.org/dc/terms/" xmlns:xsi="http://www.w3.org/2001/XMLSchema-instance" xsi:type="dcterms:W3CDTF">2026-10-26T15:33:46Z</dcterms:modified>
</cp:coreProperties>
</file>